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Мій диск\Google sheets\Excel\"/>
    </mc:Choice>
  </mc:AlternateContent>
  <xr:revisionPtr revIDLastSave="0" documentId="13_ncr:1_{2674AA28-A088-4E49-AE03-0F441DDC750F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Report" sheetId="1" r:id="rId1"/>
    <sheet name="Sheet2" sheetId="2" state="hidden" r:id="rId2"/>
  </sheets>
  <definedNames>
    <definedName name="_xlchart.v1.0" hidden="1">Sheet2!$A$13:$A$18</definedName>
    <definedName name="_xlchart.v1.1" hidden="1">Sheet2!$B$13:$B$18</definedName>
    <definedName name="_xlchart.v1.2" hidden="1">Sheet2!$A$13:$A$18</definedName>
    <definedName name="_xlchart.v1.3" hidden="1">Sheet2!$B$13:$B$18</definedName>
    <definedName name="_xlchart.v1.4" hidden="1">Sheet2!$A$13:$A$18</definedName>
    <definedName name="_xlchart.v1.5" hidden="1">Sheet2!$B$13:$B$18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2" l="1"/>
  <c r="A15" i="2"/>
  <c r="A16" i="2"/>
  <c r="A17" i="2"/>
  <c r="A18" i="2"/>
  <c r="B18" i="2"/>
  <c r="B17" i="2"/>
  <c r="B16" i="2"/>
  <c r="B15" i="2"/>
  <c r="B14" i="2"/>
  <c r="B13" i="2"/>
  <c r="A13" i="2"/>
  <c r="A10" i="2"/>
  <c r="F9" i="2"/>
  <c r="E9" i="2"/>
  <c r="D9" i="2"/>
  <c r="A9" i="2"/>
  <c r="F8" i="2"/>
  <c r="E8" i="2"/>
  <c r="D8" i="2"/>
  <c r="A8" i="2"/>
  <c r="B5" i="2"/>
  <c r="A5" i="2"/>
  <c r="B4" i="2"/>
  <c r="A4" i="2"/>
  <c r="B3" i="2"/>
  <c r="A3" i="2"/>
  <c r="B2" i="2"/>
  <c r="A2" i="2"/>
  <c r="B1" i="2"/>
  <c r="A1" i="2"/>
  <c r="D42" i="1"/>
  <c r="D48" i="1" s="1"/>
  <c r="D50" i="1" s="1"/>
  <c r="H37" i="1"/>
  <c r="B8" i="2" s="1"/>
  <c r="N30" i="1"/>
  <c r="M30" i="1"/>
  <c r="E29" i="1"/>
  <c r="D29" i="1"/>
  <c r="G29" i="1" s="1"/>
  <c r="D28" i="1"/>
  <c r="H38" i="1" s="1"/>
  <c r="B9" i="2" s="1"/>
  <c r="N26" i="1"/>
  <c r="N33" i="1" s="1"/>
  <c r="M26" i="1"/>
  <c r="M33" i="1" s="1"/>
  <c r="E22" i="1"/>
  <c r="D22" i="1"/>
  <c r="G22" i="1" s="1"/>
  <c r="N21" i="1"/>
  <c r="M21" i="1"/>
  <c r="D21" i="1"/>
  <c r="N17" i="1"/>
  <c r="N24" i="1" s="1"/>
  <c r="M17" i="1"/>
  <c r="M24" i="1" s="1"/>
  <c r="E17" i="1"/>
  <c r="G17" i="1" s="1"/>
  <c r="D17" i="1"/>
  <c r="D31" i="1" l="1"/>
  <c r="M38" i="1"/>
  <c r="E21" i="1"/>
  <c r="E28" i="1" s="1"/>
  <c r="E31" i="1" s="1"/>
  <c r="E33" i="1" s="1"/>
  <c r="D33" i="1" l="1"/>
  <c r="G31" i="1"/>
  <c r="G28" i="1"/>
  <c r="G21" i="1"/>
  <c r="M37" i="1" l="1"/>
  <c r="B10" i="2" s="1"/>
  <c r="G33" i="1"/>
</calcChain>
</file>

<file path=xl/sharedStrings.xml><?xml version="1.0" encoding="utf-8"?>
<sst xmlns="http://schemas.openxmlformats.org/spreadsheetml/2006/main" count="86" uniqueCount="84">
  <si>
    <t>.</t>
  </si>
  <si>
    <r>
      <rPr>
        <b/>
        <sz val="36"/>
        <color rgb="FF0B2545"/>
        <rFont val="Manrope"/>
      </rPr>
      <t xml:space="preserve">QUARTERLY </t>
    </r>
    <r>
      <rPr>
        <sz val="36"/>
        <color rgb="FF0B2545"/>
        <rFont val="Manrope"/>
      </rPr>
      <t>FINANCIAL REPORT.</t>
    </r>
  </si>
  <si>
    <t>1. REPORT DATA</t>
  </si>
  <si>
    <t>2. EXECUTIVE SUMMARY</t>
  </si>
  <si>
    <t>Company:</t>
  </si>
  <si>
    <t>TechNova Inc.</t>
  </si>
  <si>
    <t>In Q4 2025, TechNova Inc. achieved revenue of $1,250,000, representing a 25% increase from the previous quarter. Gross profit margin improved to 65% due to optimized costs. Operating expenses rose moderately due to marketing investments, but net profit reached $180,000 (up 20%). Cash position remains strong at $650,000. Key risks include market competition; opportunities lie in new product launches.</t>
  </si>
  <si>
    <t>Period:</t>
  </si>
  <si>
    <t>Q4 2025 (October – December 2025)</t>
  </si>
  <si>
    <t>Date Prepared:</t>
  </si>
  <si>
    <t>Prepared By:</t>
  </si>
  <si>
    <t>Chief Financial Officer</t>
  </si>
  <si>
    <t>3. INCOME STATEMENT</t>
  </si>
  <si>
    <t>4. BALANCE SHEET</t>
  </si>
  <si>
    <t>Current 
Quarter</t>
  </si>
  <si>
    <t>Previous 
Quarter</t>
  </si>
  <si>
    <t>Change (%)</t>
  </si>
  <si>
    <t>Same Quarter Last Year</t>
  </si>
  <si>
    <t>Item</t>
  </si>
  <si>
    <t>Assets</t>
  </si>
  <si>
    <t>Revenue</t>
  </si>
  <si>
    <t>Current Assets</t>
  </si>
  <si>
    <t>Sales of goods/services</t>
  </si>
  <si>
    <t>Cash and equivalents</t>
  </si>
  <si>
    <t>Other income</t>
  </si>
  <si>
    <t>Accounts receivable</t>
  </si>
  <si>
    <t>Cost of Goods Sold (COGS)</t>
  </si>
  <si>
    <t>Inventory</t>
  </si>
  <si>
    <t>Gross Profit</t>
  </si>
  <si>
    <t>Non-Current Assets</t>
  </si>
  <si>
    <t>Operating Expenses</t>
  </si>
  <si>
    <t>Property, plant &amp; equipment</t>
  </si>
  <si>
    <t>Salaries</t>
  </si>
  <si>
    <t>Intangible assets</t>
  </si>
  <si>
    <t>Rent/Utilities</t>
  </si>
  <si>
    <t>Total Assets</t>
  </si>
  <si>
    <t>Marketing</t>
  </si>
  <si>
    <t>Liabilities &amp; Equity</t>
  </si>
  <si>
    <t>Administrative</t>
  </si>
  <si>
    <t>Current Liabilities</t>
  </si>
  <si>
    <t>Other</t>
  </si>
  <si>
    <t>Accounts payable</t>
  </si>
  <si>
    <t>Operating Profit (EBIT)</t>
  </si>
  <si>
    <t>Short-term loans</t>
  </si>
  <si>
    <t>Other Income/Expenses</t>
  </si>
  <si>
    <t>Long-Term Liabilities</t>
  </si>
  <si>
    <t>Interest on loans</t>
  </si>
  <si>
    <t>Equity</t>
  </si>
  <si>
    <t>Profit Before Tax (EBT)</t>
  </si>
  <si>
    <t>Share capital</t>
  </si>
  <si>
    <t>Taxes</t>
  </si>
  <si>
    <t>Retained earnings</t>
  </si>
  <si>
    <t>Net Profit</t>
  </si>
  <si>
    <t>Total Liabilities &amp; Equity</t>
  </si>
  <si>
    <t>5. CASH FLOW STATEMENT</t>
  </si>
  <si>
    <t>6. KEY FINANCIAL RATIOS</t>
  </si>
  <si>
    <t>Category</t>
  </si>
  <si>
    <t xml:space="preserve"> Current Quarter </t>
  </si>
  <si>
    <t>Gross Margin:</t>
  </si>
  <si>
    <t>Net Margin:</t>
  </si>
  <si>
    <t>Operating Activities</t>
  </si>
  <si>
    <t>Operating Margin:</t>
  </si>
  <si>
    <t>Current Ratio:</t>
  </si>
  <si>
    <t>Net profit</t>
  </si>
  <si>
    <t>Depreciation</t>
  </si>
  <si>
    <t>7. ANALYSIS AND COMMENTARY</t>
  </si>
  <si>
    <t>Changes in working capital</t>
  </si>
  <si>
    <t>Net Cash from Operations</t>
  </si>
  <si>
    <t>Revenue growth driven by successful product launch. Expenses controlled effectively, though marketing spend increased for Q1 pipeline. Compared to budget, revenue exceeded by 10%. Risks: Rising interest rates. Opportunities: Expansion into new markets.</t>
  </si>
  <si>
    <t>Investing Activities</t>
  </si>
  <si>
    <t>Purchase/sale of assets</t>
  </si>
  <si>
    <t>Financing Activities</t>
  </si>
  <si>
    <t>Loans/repayments</t>
  </si>
  <si>
    <t>8. RECOMMENDATIONS AND FORECAST</t>
  </si>
  <si>
    <t>Dividends</t>
  </si>
  <si>
    <t xml:space="preserve"> $ </t>
  </si>
  <si>
    <t>Net Change in Cash</t>
  </si>
  <si>
    <t>Reduce non-essential admin costs by 10%. Forecast Q1 2026 revenue: $1,400,000 (+12%). Invest in R&amp;D for sustained growth.</t>
  </si>
  <si>
    <t>Cash at Beginning of Quarter</t>
  </si>
  <si>
    <t>Cash at End of Quarter</t>
  </si>
  <si>
    <t>OPERATING EXPENSES BREAKDOWN</t>
  </si>
  <si>
    <t xml:space="preserve">                  ASSETS STRUCTURE</t>
  </si>
  <si>
    <t>PROFITABILITY MARGINS</t>
  </si>
  <si>
    <t xml:space="preserve">                   CASH FLOW MOVEMENT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</si>
</sst>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mmmm\ d\,\ yyyy"/>
  </numFmts>
  <fonts count="15" x14ac:knownFonts="1">
    <font>
      <sz val="10"/>
      <color rgb="FF000000"/>
      <name val="Arial"/>
      <scheme val="minor"/>
    </font>
    <font>
      <sz val="10"/>
      <color rgb="FF0B2545"/>
      <name val="Manrope"/>
    </font>
    <font>
      <b/>
      <sz val="30"/>
      <color rgb="FF0B2545"/>
      <name val="Manrope"/>
    </font>
    <font>
      <b/>
      <sz val="12"/>
      <color rgb="FF0B2545"/>
      <name val="Manrope"/>
    </font>
    <font>
      <b/>
      <sz val="36"/>
      <color rgb="FF0B2545"/>
      <name val="Manrope"/>
    </font>
    <font>
      <b/>
      <sz val="14"/>
      <color rgb="FF0B2545"/>
      <name val="Manrope"/>
    </font>
    <font>
      <sz val="10"/>
      <name val="Arial"/>
    </font>
    <font>
      <b/>
      <sz val="10"/>
      <color rgb="FF0B2545"/>
      <name val="Manrope"/>
    </font>
    <font>
      <b/>
      <sz val="11"/>
      <color rgb="FF0B2545"/>
      <name val="Manrope"/>
    </font>
    <font>
      <sz val="11"/>
      <color rgb="FF0B2545"/>
      <name val="Manrope"/>
    </font>
    <font>
      <sz val="10"/>
      <color rgb="FF0B2545"/>
      <name val="Arial"/>
      <scheme val="minor"/>
    </font>
    <font>
      <b/>
      <sz val="13"/>
      <color rgb="FF0B2545"/>
      <name val="Manrope"/>
    </font>
    <font>
      <sz val="12"/>
      <color rgb="FF0B2545"/>
      <name val="Manrope"/>
    </font>
    <font>
      <sz val="10"/>
      <color theme="1"/>
      <name val="Arial"/>
      <scheme val="minor"/>
    </font>
    <font>
      <sz val="36"/>
      <color rgb="FF0B2545"/>
      <name val="Manrope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9F9F9"/>
        <bgColor rgb="FFF9F9F9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434343"/>
      </bottom>
      <diagonal/>
    </border>
    <border>
      <left/>
      <right/>
      <top/>
      <bottom style="thin">
        <color rgb="FFEFEFEF"/>
      </bottom>
      <diagonal/>
    </border>
    <border>
      <left style="thin">
        <color rgb="FFEFEFEF"/>
      </left>
      <right/>
      <top style="thin">
        <color rgb="FFEFEFEF"/>
      </top>
      <bottom/>
      <diagonal/>
    </border>
    <border>
      <left/>
      <right/>
      <top style="thin">
        <color rgb="FFEFEFEF"/>
      </top>
      <bottom/>
      <diagonal/>
    </border>
    <border>
      <left/>
      <right style="thin">
        <color rgb="FFEFEFEF"/>
      </right>
      <top style="thin">
        <color rgb="FFEFEFEF"/>
      </top>
      <bottom/>
      <diagonal/>
    </border>
    <border>
      <left style="thin">
        <color rgb="FFEFEFEF"/>
      </left>
      <right/>
      <top/>
      <bottom/>
      <diagonal/>
    </border>
    <border>
      <left/>
      <right style="thin">
        <color rgb="FFEFEFEF"/>
      </right>
      <top/>
      <bottom/>
      <diagonal/>
    </border>
    <border>
      <left style="thin">
        <color rgb="FFEFEFEF"/>
      </left>
      <right/>
      <top/>
      <bottom style="thin">
        <color rgb="FFEFEFEF"/>
      </bottom>
      <diagonal/>
    </border>
    <border>
      <left/>
      <right style="thin">
        <color rgb="FFEFEFEF"/>
      </right>
      <top/>
      <bottom style="thin">
        <color rgb="FFEFEFEF"/>
      </bottom>
      <diagonal/>
    </border>
    <border>
      <left/>
      <right/>
      <top style="thin">
        <color rgb="FFEFEFEF"/>
      </top>
      <bottom style="thin">
        <color rgb="FFEFEFEF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0" fontId="1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10" fontId="7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0" fillId="0" borderId="3" xfId="0" applyFont="1" applyBorder="1"/>
    <xf numFmtId="0" fontId="1" fillId="0" borderId="5" xfId="0" applyFont="1" applyBorder="1" applyAlignment="1">
      <alignment vertical="top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164" fontId="9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4" fontId="7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42" fontId="1" fillId="3" borderId="2" xfId="0" applyNumberFormat="1" applyFont="1" applyFill="1" applyBorder="1" applyAlignment="1">
      <alignment vertical="center"/>
    </xf>
    <xf numFmtId="9" fontId="1" fillId="3" borderId="2" xfId="0" applyNumberFormat="1" applyFont="1" applyFill="1" applyBorder="1" applyAlignment="1">
      <alignment horizontal="center" vertical="center"/>
    </xf>
    <xf numFmtId="42" fontId="1" fillId="0" borderId="2" xfId="0" applyNumberFormat="1" applyFont="1" applyBorder="1" applyAlignment="1">
      <alignment vertical="center"/>
    </xf>
    <xf numFmtId="3" fontId="1" fillId="0" borderId="0" xfId="0" applyNumberFormat="1" applyFont="1" applyAlignment="1">
      <alignment vertical="center"/>
    </xf>
    <xf numFmtId="0" fontId="1" fillId="0" borderId="10" xfId="0" applyFont="1" applyBorder="1" applyAlignment="1">
      <alignment vertical="center"/>
    </xf>
    <xf numFmtId="42" fontId="1" fillId="0" borderId="10" xfId="0" applyNumberFormat="1" applyFont="1" applyBorder="1" applyAlignment="1">
      <alignment vertical="center"/>
    </xf>
    <xf numFmtId="9" fontId="1" fillId="0" borderId="10" xfId="0" applyNumberFormat="1" applyFont="1" applyBorder="1" applyAlignment="1">
      <alignment horizontal="center" vertical="center"/>
    </xf>
    <xf numFmtId="0" fontId="1" fillId="3" borderId="10" xfId="0" applyFont="1" applyFill="1" applyBorder="1" applyAlignment="1">
      <alignment vertical="center"/>
    </xf>
    <xf numFmtId="42" fontId="1" fillId="3" borderId="10" xfId="0" applyNumberFormat="1" applyFont="1" applyFill="1" applyBorder="1" applyAlignment="1">
      <alignment vertical="center"/>
    </xf>
    <xf numFmtId="9" fontId="1" fillId="3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42" fontId="7" fillId="0" borderId="10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10" xfId="0" applyFont="1" applyFill="1" applyBorder="1" applyAlignment="1">
      <alignment vertical="center"/>
    </xf>
    <xf numFmtId="10" fontId="1" fillId="0" borderId="0" xfId="0" applyNumberFormat="1" applyFont="1" applyAlignment="1">
      <alignment horizontal="center" vertical="center"/>
    </xf>
    <xf numFmtId="44" fontId="3" fillId="0" borderId="1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10" fontId="7" fillId="3" borderId="2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44" fontId="1" fillId="0" borderId="2" xfId="0" applyNumberFormat="1" applyFont="1" applyBorder="1" applyAlignment="1">
      <alignment vertical="center"/>
    </xf>
    <xf numFmtId="10" fontId="7" fillId="3" borderId="10" xfId="0" applyNumberFormat="1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 wrapText="1"/>
    </xf>
    <xf numFmtId="0" fontId="10" fillId="0" borderId="0" xfId="0" applyFont="1"/>
    <xf numFmtId="10" fontId="1" fillId="0" borderId="0" xfId="0" applyNumberFormat="1" applyFont="1" applyAlignment="1">
      <alignment vertical="center" wrapText="1"/>
    </xf>
    <xf numFmtId="10" fontId="1" fillId="0" borderId="5" xfId="0" applyNumberFormat="1" applyFont="1" applyBorder="1" applyAlignment="1">
      <alignment vertical="top" wrapText="1"/>
    </xf>
    <xf numFmtId="10" fontId="1" fillId="0" borderId="6" xfId="0" applyNumberFormat="1" applyFont="1" applyBorder="1" applyAlignment="1">
      <alignment vertical="top" wrapText="1"/>
    </xf>
    <xf numFmtId="10" fontId="1" fillId="0" borderId="7" xfId="0" applyNumberFormat="1" applyFont="1" applyBorder="1" applyAlignment="1">
      <alignment vertical="top" wrapText="1"/>
    </xf>
    <xf numFmtId="10" fontId="1" fillId="0" borderId="8" xfId="0" applyNumberFormat="1" applyFont="1" applyBorder="1" applyAlignment="1">
      <alignment vertical="top" wrapText="1"/>
    </xf>
    <xf numFmtId="10" fontId="1" fillId="0" borderId="9" xfId="0" applyNumberFormat="1" applyFont="1" applyBorder="1" applyAlignment="1">
      <alignment vertical="top" wrapText="1"/>
    </xf>
    <xf numFmtId="10" fontId="1" fillId="0" borderId="3" xfId="0" applyNumberFormat="1" applyFont="1" applyBorder="1" applyAlignment="1">
      <alignment vertical="top" wrapText="1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 wrapText="1"/>
    </xf>
    <xf numFmtId="0" fontId="13" fillId="0" borderId="0" xfId="0" applyFont="1"/>
    <xf numFmtId="42" fontId="13" fillId="0" borderId="0" xfId="0" applyNumberFormat="1" applyFont="1"/>
    <xf numFmtId="10" fontId="13" fillId="0" borderId="0" xfId="0" applyNumberFormat="1" applyFont="1"/>
    <xf numFmtId="44" fontId="13" fillId="0" borderId="0" xfId="0" applyNumberFormat="1" applyFont="1"/>
    <xf numFmtId="0" fontId="5" fillId="0" borderId="1" xfId="0" applyFont="1" applyBorder="1" applyAlignment="1">
      <alignment vertical="center"/>
    </xf>
    <xf numFmtId="0" fontId="6" fillId="0" borderId="1" xfId="0" applyFont="1" applyBorder="1"/>
    <xf numFmtId="10" fontId="1" fillId="0" borderId="4" xfId="0" applyNumberFormat="1" applyFont="1" applyBorder="1" applyAlignment="1">
      <alignment vertical="top" wrapText="1"/>
    </xf>
    <xf numFmtId="0" fontId="6" fillId="0" borderId="4" xfId="0" applyFont="1" applyBorder="1"/>
    <xf numFmtId="0" fontId="0" fillId="0" borderId="0" xfId="0"/>
    <xf numFmtId="0" fontId="6" fillId="0" borderId="2" xfId="0" applyFont="1" applyBorder="1"/>
    <xf numFmtId="0" fontId="5" fillId="0" borderId="0" xfId="0" applyFont="1" applyAlignment="1">
      <alignment horizontal="left" vertical="center"/>
    </xf>
    <xf numFmtId="10" fontId="8" fillId="3" borderId="10" xfId="0" applyNumberFormat="1" applyFont="1" applyFill="1" applyBorder="1" applyAlignment="1">
      <alignment horizontal="center" vertical="center" wrapText="1"/>
    </xf>
    <xf numFmtId="0" fontId="6" fillId="0" borderId="10" xfId="0" applyFont="1" applyBorder="1"/>
    <xf numFmtId="10" fontId="8" fillId="3" borderId="2" xfId="0" applyNumberFormat="1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8" fillId="0" borderId="2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9" fillId="0" borderId="2" xfId="0" applyFont="1" applyBorder="1" applyAlignment="1">
      <alignment horizontal="left" vertical="center"/>
    </xf>
    <xf numFmtId="164" fontId="9" fillId="0" borderId="2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vertical="top" wrapText="1"/>
    </xf>
    <xf numFmtId="0" fontId="1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xMode val="edge"/>
          <c:yMode val="edge"/>
          <c:x val="1.1168384879725086E-2"/>
          <c:y val="1.1680417475579505E-2"/>
          <c:w val="0.54295532646048106"/>
          <c:h val="0.9863510785874126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B2545"/>
              </a:solidFill>
            </c:spPr>
            <c:extLst>
              <c:ext xmlns:c16="http://schemas.microsoft.com/office/drawing/2014/chart" uri="{C3380CC4-5D6E-409C-BE32-E72D297353CC}">
                <c16:uniqueId val="{00000001-6F24-465D-821A-DD4847110CBE}"/>
              </c:ext>
            </c:extLst>
          </c:dPt>
          <c:dPt>
            <c:idx val="1"/>
            <c:bubble3D val="0"/>
            <c:spPr>
              <a:solidFill>
                <a:srgbClr val="13315C"/>
              </a:solidFill>
            </c:spPr>
            <c:extLst>
              <c:ext xmlns:c16="http://schemas.microsoft.com/office/drawing/2014/chart" uri="{C3380CC4-5D6E-409C-BE32-E72D297353CC}">
                <c16:uniqueId val="{00000003-6F24-465D-821A-DD4847110CBE}"/>
              </c:ext>
            </c:extLst>
          </c:dPt>
          <c:dPt>
            <c:idx val="2"/>
            <c:bubble3D val="0"/>
            <c:spPr>
              <a:solidFill>
                <a:srgbClr val="134074"/>
              </a:solidFill>
            </c:spPr>
            <c:extLst>
              <c:ext xmlns:c16="http://schemas.microsoft.com/office/drawing/2014/chart" uri="{C3380CC4-5D6E-409C-BE32-E72D297353CC}">
                <c16:uniqueId val="{00000005-6F24-465D-821A-DD4847110CBE}"/>
              </c:ext>
            </c:extLst>
          </c:dPt>
          <c:dPt>
            <c:idx val="3"/>
            <c:bubble3D val="0"/>
            <c:spPr>
              <a:solidFill>
                <a:srgbClr val="8DA9C4"/>
              </a:solidFill>
            </c:spPr>
            <c:extLst>
              <c:ext xmlns:c16="http://schemas.microsoft.com/office/drawing/2014/chart" uri="{C3380CC4-5D6E-409C-BE32-E72D297353CC}">
                <c16:uniqueId val="{00000007-6F24-465D-821A-DD4847110CBE}"/>
              </c:ext>
            </c:extLst>
          </c:dPt>
          <c:dPt>
            <c:idx val="4"/>
            <c:bubble3D val="0"/>
            <c:spPr>
              <a:solidFill>
                <a:srgbClr val="EEF4ED"/>
              </a:solidFill>
            </c:spPr>
            <c:extLst>
              <c:ext xmlns:c16="http://schemas.microsoft.com/office/drawing/2014/chart" uri="{C3380CC4-5D6E-409C-BE32-E72D297353CC}">
                <c16:uniqueId val="{00000009-6F24-465D-821A-DD4847110CBE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uk-UA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6F24-465D-821A-DD4847110CBE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uk-UA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6F24-465D-821A-DD4847110CBE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uk-UA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6F24-465D-821A-DD4847110CB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Report!$C$23:$C$27</c:f>
              <c:strCache>
                <c:ptCount val="5"/>
                <c:pt idx="0">
                  <c:v>Salaries</c:v>
                </c:pt>
                <c:pt idx="1">
                  <c:v>Rent/Utilities</c:v>
                </c:pt>
                <c:pt idx="2">
                  <c:v>Marketing</c:v>
                </c:pt>
                <c:pt idx="3">
                  <c:v>Administrative</c:v>
                </c:pt>
                <c:pt idx="4">
                  <c:v>Other</c:v>
                </c:pt>
              </c:strCache>
            </c:strRef>
          </c:cat>
          <c:val>
            <c:numRef>
              <c:f>Report!$D$23:$D$27</c:f>
              <c:numCache>
                <c:formatCode>_("$"* #,##0_);_("$"* \(#,##0\);_("$"* "-"_);_(@_)</c:formatCode>
                <c:ptCount val="5"/>
                <c:pt idx="0">
                  <c:v>300000</c:v>
                </c:pt>
                <c:pt idx="1">
                  <c:v>50000</c:v>
                </c:pt>
                <c:pt idx="2">
                  <c:v>120000</c:v>
                </c:pt>
                <c:pt idx="3">
                  <c:v>60000</c:v>
                </c:pt>
                <c:pt idx="4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F24-465D-821A-DD4847110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69618047952329665"/>
          <c:y val="0.27440944881889767"/>
        </c:manualLayout>
      </c:layout>
      <c:overlay val="0"/>
    </c:legend>
    <c:plotVisOnly val="1"/>
    <c:dispBlanksAs val="zero"/>
    <c:showDLblsOverMax val="1"/>
  </c:chart>
  <c:spPr>
    <a:noFill/>
    <a:ln>
      <a:noFill/>
    </a:ln>
  </c:spPr>
  <c:txPr>
    <a:bodyPr/>
    <a:lstStyle/>
    <a:p>
      <a:pPr>
        <a:defRPr>
          <a:latin typeface="Manrope" pitchFamily="2" charset="0"/>
        </a:defRPr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xMode val="edge"/>
          <c:yMode val="edge"/>
          <c:x val="7.7319587628865982E-3"/>
          <c:y val="5.9328784767303192E-3"/>
          <c:w val="0.56357388316151202"/>
          <c:h val="0.9802875939642146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B2545"/>
              </a:solidFill>
            </c:spPr>
            <c:extLst>
              <c:ext xmlns:c16="http://schemas.microsoft.com/office/drawing/2014/chart" uri="{C3380CC4-5D6E-409C-BE32-E72D297353CC}">
                <c16:uniqueId val="{00000001-3951-433C-9DFE-E969EE1D6247}"/>
              </c:ext>
            </c:extLst>
          </c:dPt>
          <c:dPt>
            <c:idx val="1"/>
            <c:bubble3D val="0"/>
            <c:spPr>
              <a:solidFill>
                <a:srgbClr val="13315C"/>
              </a:solidFill>
            </c:spPr>
            <c:extLst>
              <c:ext xmlns:c16="http://schemas.microsoft.com/office/drawing/2014/chart" uri="{C3380CC4-5D6E-409C-BE32-E72D297353CC}">
                <c16:uniqueId val="{00000003-3951-433C-9DFE-E969EE1D6247}"/>
              </c:ext>
            </c:extLst>
          </c:dPt>
          <c:dPt>
            <c:idx val="2"/>
            <c:bubble3D val="0"/>
            <c:spPr>
              <a:solidFill>
                <a:srgbClr val="134074"/>
              </a:solidFill>
            </c:spPr>
            <c:extLst>
              <c:ext xmlns:c16="http://schemas.microsoft.com/office/drawing/2014/chart" uri="{C3380CC4-5D6E-409C-BE32-E72D297353CC}">
                <c16:uniqueId val="{00000005-3951-433C-9DFE-E969EE1D6247}"/>
              </c:ext>
            </c:extLst>
          </c:dPt>
          <c:dPt>
            <c:idx val="3"/>
            <c:bubble3D val="0"/>
            <c:spPr>
              <a:solidFill>
                <a:srgbClr val="8DA9C4"/>
              </a:solidFill>
            </c:spPr>
            <c:extLst>
              <c:ext xmlns:c16="http://schemas.microsoft.com/office/drawing/2014/chart" uri="{C3380CC4-5D6E-409C-BE32-E72D297353CC}">
                <c16:uniqueId val="{00000007-3951-433C-9DFE-E969EE1D6247}"/>
              </c:ext>
            </c:extLst>
          </c:dPt>
          <c:dPt>
            <c:idx val="4"/>
            <c:bubble3D val="0"/>
            <c:spPr>
              <a:solidFill>
                <a:srgbClr val="EEF4ED"/>
              </a:solidFill>
            </c:spPr>
            <c:extLst>
              <c:ext xmlns:c16="http://schemas.microsoft.com/office/drawing/2014/chart" uri="{C3380CC4-5D6E-409C-BE32-E72D297353CC}">
                <c16:uniqueId val="{00000009-3951-433C-9DFE-E969EE1D6247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uk-UA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3951-433C-9DFE-E969EE1D6247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uk-UA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3951-433C-9DFE-E969EE1D6247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uk-UA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3951-433C-9DFE-E969EE1D624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Sheet2!$A$1:$A$5</c:f>
              <c:strCache>
                <c:ptCount val="5"/>
                <c:pt idx="0">
                  <c:v>Cash and equivalents</c:v>
                </c:pt>
                <c:pt idx="1">
                  <c:v>Accounts receivable</c:v>
                </c:pt>
                <c:pt idx="2">
                  <c:v>Inventory</c:v>
                </c:pt>
                <c:pt idx="3">
                  <c:v>Property, plant &amp; equipment</c:v>
                </c:pt>
                <c:pt idx="4">
                  <c:v>Intangible assets</c:v>
                </c:pt>
              </c:strCache>
            </c:strRef>
          </c:cat>
          <c:val>
            <c:numRef>
              <c:f>Sheet2!$B$1:$B$5</c:f>
              <c:numCache>
                <c:formatCode>_("$"* #,##0_);_("$"* \(#,##0\);_("$"* "-"_);_(@_)</c:formatCode>
                <c:ptCount val="5"/>
                <c:pt idx="0">
                  <c:v>650000</c:v>
                </c:pt>
                <c:pt idx="1">
                  <c:v>400000</c:v>
                </c:pt>
                <c:pt idx="2">
                  <c:v>150000</c:v>
                </c:pt>
                <c:pt idx="3">
                  <c:v>700000</c:v>
                </c:pt>
                <c:pt idx="4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951-433C-9DFE-E969EE1D6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65880741383167807"/>
          <c:y val="0.25078740157480317"/>
        </c:manualLayout>
      </c:layout>
      <c:overlay val="0"/>
    </c:legend>
    <c:plotVisOnly val="1"/>
    <c:dispBlanksAs val="zero"/>
    <c:showDLblsOverMax val="1"/>
  </c:chart>
  <c:spPr>
    <a:noFill/>
    <a:ln>
      <a:noFill/>
    </a:ln>
  </c:spPr>
  <c:txPr>
    <a:bodyPr/>
    <a:lstStyle/>
    <a:p>
      <a:pPr>
        <a:defRPr>
          <a:latin typeface="Manrope" pitchFamily="2" charset="0"/>
        </a:defRPr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2605941733822071"/>
          <c:y val="6.5722222222222224E-2"/>
          <c:w val="0.85834976156916953"/>
          <c:h val="0.79579658792650931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13407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8198-4966-BD23-52DD0DE10C4F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Sheet2!$A$8:$A$10</c:f>
              <c:strCache>
                <c:ptCount val="3"/>
                <c:pt idx="0">
                  <c:v>Gross Margin:</c:v>
                </c:pt>
                <c:pt idx="1">
                  <c:v>Operating Margin:</c:v>
                </c:pt>
                <c:pt idx="2">
                  <c:v>Net Margin:</c:v>
                </c:pt>
              </c:strCache>
            </c:strRef>
          </c:cat>
          <c:val>
            <c:numRef>
              <c:f>Sheet2!$B$8:$B$10</c:f>
              <c:numCache>
                <c:formatCode>0.00%</c:formatCode>
                <c:ptCount val="3"/>
                <c:pt idx="0">
                  <c:v>0.65</c:v>
                </c:pt>
                <c:pt idx="1">
                  <c:v>0.21</c:v>
                </c:pt>
                <c:pt idx="2">
                  <c:v>0.14399999999999999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198-4966-BD23-52DD0DE10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0836042"/>
        <c:axId val="900609961"/>
      </c:barChart>
      <c:catAx>
        <c:axId val="10208360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uk-U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900609961"/>
        <c:crosses val="autoZero"/>
        <c:auto val="1"/>
        <c:lblAlgn val="ctr"/>
        <c:lblOffset val="100"/>
        <c:noMultiLvlLbl val="1"/>
      </c:catAx>
      <c:valAx>
        <c:axId val="9006099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endParaRPr lang="uk-UA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crossAx val="1020836042"/>
        <c:crosses val="autoZero"/>
        <c:crossBetween val="between"/>
      </c:valAx>
    </c:plotArea>
    <c:plotVisOnly val="1"/>
    <c:dispBlanksAs val="zero"/>
    <c:showDLblsOverMax val="1"/>
  </c:chart>
  <c:spPr>
    <a:noFill/>
    <a:ln>
      <a:noFill/>
    </a:ln>
  </c:spPr>
  <c:txPr>
    <a:bodyPr/>
    <a:lstStyle/>
    <a:p>
      <a:pPr>
        <a:defRPr>
          <a:latin typeface="Manrope" pitchFamily="2" charset="0"/>
        </a:defRPr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plotArea>
      <cx:plotAreaRegion>
        <cx:plotSurface>
          <cx:spPr>
            <a:effectLst>
              <a:outerShdw blurRad="50800" dist="50800" dir="5400000" sx="4000" sy="4000" algn="ctr" rotWithShape="0">
                <a:srgbClr val="000000">
                  <a:alpha val="43137"/>
                </a:srgbClr>
              </a:outerShdw>
            </a:effectLst>
          </cx:spPr>
        </cx:plotSurface>
        <cx:series layoutId="waterfall" uniqueId="{B7D9673B-930F-4835-96AB-58863AD6D8FE}">
          <cx:dataId val="0"/>
          <cx:layoutPr>
            <cx:visibility connectorLines="1"/>
            <cx:subtotals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000" b="0" i="0">
                <a:ln>
                  <a:noFill/>
                </a:ln>
                <a:solidFill>
                  <a:srgbClr val="000000"/>
                </a:solidFill>
                <a:latin typeface="Manrope" pitchFamily="2" charset="0"/>
                <a:ea typeface="Manrope" pitchFamily="2" charset="0"/>
                <a:cs typeface="Manrope" pitchFamily="2" charset="0"/>
              </a:defRPr>
            </a:pPr>
            <a:endParaRPr lang="uk-UA" sz="1000">
              <a:ln>
                <a:noFill/>
              </a:ln>
              <a:latin typeface="Manrope" pitchFamily="2" charset="0"/>
            </a:endParaRPr>
          </a:p>
        </cx:txPr>
      </cx:axis>
      <cx:axis id="1">
        <cx:valScaling/>
        <cx:majorGridlines>
          <cx:spPr>
            <a:ln>
              <a:solidFill>
                <a:srgbClr val="B7B7B7"/>
              </a:solidFill>
            </a:ln>
          </cx:spPr>
        </cx:majorGridlines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Manrope" pitchFamily="2" charset="0"/>
                <a:ea typeface="Manrope" pitchFamily="2" charset="0"/>
                <a:cs typeface="Manrope" pitchFamily="2" charset="0"/>
              </a:defRPr>
            </a:pPr>
            <a:endParaRPr lang="uk-UA">
              <a:latin typeface="Manrope" pitchFamily="2" charset="0"/>
            </a:endParaRPr>
          </a:p>
        </cx:txPr>
      </cx:axis>
    </cx:plotArea>
    <cx:legend pos="t" align="ctr" overlay="0"/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4"/>
  <a:schemeClr val="accent2"/>
  <a:srgbClr val="EEF4ED"/>
</cs:colorStyle>
</file>

<file path=xl/charts/style1.xml><?xml version="1.0" encoding="utf-8"?>
<cs:chartStyle xmlns:cs="http://schemas.microsoft.com/office/drawing/2012/chartStyle" xmlns:a="http://schemas.openxmlformats.org/drawingml/2006/main" id="399">
  <cs:axisTitle>
    <cs:lnRef idx="0"/>
    <cs:fillRef idx="0"/>
    <cs:effectRef idx="0"/>
    <cs:fontRef idx="minor">
      <a:schemeClr val="tx2"/>
    </cs:fontRef>
    <cs:defRPr sz="9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2"/>
    </cs:fontRef>
    <cs:defRPr sz="9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2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2"/>
    </cs:fontRef>
    <cs:defRPr sz="9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2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2"/>
    </cs:fontRef>
    <cs:defRPr sz="1600" b="1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366713</xdr:colOff>
      <xdr:row>52</xdr:row>
      <xdr:rowOff>152400</xdr:rowOff>
    </xdr:from>
    <xdr:ext cx="5477555" cy="24193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514350</xdr:colOff>
      <xdr:row>52</xdr:row>
      <xdr:rowOff>152400</xdr:rowOff>
    </xdr:from>
    <xdr:ext cx="5791200" cy="241935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366713</xdr:colOff>
      <xdr:row>65</xdr:row>
      <xdr:rowOff>85725</xdr:rowOff>
    </xdr:from>
    <xdr:ext cx="5702073" cy="2286000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7</xdr:col>
      <xdr:colOff>523875</xdr:colOff>
      <xdr:row>65</xdr:row>
      <xdr:rowOff>85725</xdr:rowOff>
    </xdr:from>
    <xdr:ext cx="5791200" cy="2377168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 title="Chart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4536" y="15897225"/>
              <a:ext cx="5791200" cy="23771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P76"/>
  <sheetViews>
    <sheetView showGridLines="0" tabSelected="1" topLeftCell="A45" zoomScale="70" zoomScaleNormal="70" workbookViewId="0">
      <selection activeCell="N83" sqref="N83"/>
    </sheetView>
  </sheetViews>
  <sheetFormatPr defaultColWidth="12.59765625" defaultRowHeight="15.75" customHeight="1" x14ac:dyDescent="0.35"/>
  <cols>
    <col min="1" max="1" width="5.1328125" customWidth="1"/>
    <col min="2" max="2" width="4.46484375" customWidth="1"/>
    <col min="3" max="3" width="24.3984375" customWidth="1"/>
    <col min="4" max="5" width="16.73046875" customWidth="1"/>
    <col min="6" max="6" width="1" customWidth="1"/>
    <col min="7" max="8" width="16.73046875" customWidth="1"/>
    <col min="9" max="9" width="6" customWidth="1"/>
    <col min="10" max="10" width="1" customWidth="1"/>
    <col min="11" max="11" width="4.46484375" customWidth="1"/>
    <col min="12" max="12" width="23.265625" customWidth="1"/>
    <col min="13" max="14" width="16.73046875" customWidth="1"/>
    <col min="15" max="15" width="1" customWidth="1"/>
    <col min="16" max="16" width="6" customWidth="1"/>
  </cols>
  <sheetData>
    <row r="1" spans="1:16" ht="12.85" customHeight="1" x14ac:dyDescent="0.35">
      <c r="A1" s="1"/>
      <c r="B1" s="2"/>
      <c r="C1" s="2"/>
      <c r="D1" s="3"/>
      <c r="E1" s="1"/>
      <c r="F1" s="4"/>
      <c r="G1" s="4"/>
      <c r="H1" s="1"/>
      <c r="I1" s="1"/>
      <c r="J1" s="2"/>
      <c r="K1" s="2"/>
      <c r="L1" s="2"/>
      <c r="M1" s="1"/>
      <c r="N1" s="1"/>
      <c r="O1" s="1"/>
      <c r="P1" s="1" t="s">
        <v>0</v>
      </c>
    </row>
    <row r="2" spans="1:16" ht="51.75" x14ac:dyDescent="0.35">
      <c r="A2" s="1"/>
      <c r="B2" s="85" t="s">
        <v>1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5"/>
      <c r="P2" s="1"/>
    </row>
    <row r="3" spans="1:16" ht="24" customHeight="1" x14ac:dyDescent="0.35">
      <c r="A3" s="1"/>
      <c r="B3" s="6"/>
      <c r="C3" s="6"/>
      <c r="D3" s="3"/>
      <c r="E3" s="1"/>
      <c r="F3" s="4"/>
      <c r="G3" s="4"/>
      <c r="H3" s="1"/>
      <c r="I3" s="1"/>
      <c r="J3" s="6"/>
      <c r="K3" s="6"/>
      <c r="L3" s="6"/>
      <c r="M3" s="1"/>
      <c r="N3" s="1"/>
      <c r="O3" s="1"/>
      <c r="P3" s="1"/>
    </row>
    <row r="4" spans="1:16" ht="18.75" customHeight="1" x14ac:dyDescent="0.35">
      <c r="A4" s="1"/>
      <c r="B4" s="74" t="s">
        <v>2</v>
      </c>
      <c r="C4" s="75"/>
      <c r="D4" s="75"/>
      <c r="E4" s="75"/>
      <c r="F4" s="75"/>
      <c r="G4" s="75"/>
      <c r="H4" s="75"/>
      <c r="I4" s="1"/>
      <c r="J4" s="74" t="s">
        <v>3</v>
      </c>
      <c r="K4" s="75"/>
      <c r="L4" s="75"/>
      <c r="M4" s="75"/>
      <c r="N4" s="75"/>
      <c r="O4" s="75"/>
      <c r="P4" s="1"/>
    </row>
    <row r="5" spans="1:16" ht="10.5" customHeight="1" x14ac:dyDescent="0.35">
      <c r="A5" s="8"/>
      <c r="B5" s="9"/>
      <c r="C5" s="9"/>
      <c r="D5" s="10"/>
      <c r="E5" s="10"/>
      <c r="F5" s="11"/>
      <c r="G5" s="11"/>
      <c r="H5" s="10"/>
      <c r="I5" s="8"/>
      <c r="J5" s="10"/>
      <c r="K5" s="10"/>
      <c r="L5" s="10"/>
      <c r="M5" s="10"/>
      <c r="N5" s="10"/>
      <c r="O5" s="10"/>
      <c r="P5" s="10"/>
    </row>
    <row r="6" spans="1:16" ht="18.75" customHeight="1" x14ac:dyDescent="0.35">
      <c r="A6" s="1"/>
      <c r="B6" s="88" t="s">
        <v>4</v>
      </c>
      <c r="C6" s="79"/>
      <c r="D6" s="91" t="s">
        <v>5</v>
      </c>
      <c r="E6" s="79"/>
      <c r="F6" s="79"/>
      <c r="G6" s="79"/>
      <c r="H6" s="79"/>
      <c r="I6" s="12"/>
      <c r="J6" s="13"/>
      <c r="K6" s="93" t="s">
        <v>6</v>
      </c>
      <c r="L6" s="77"/>
      <c r="M6" s="77"/>
      <c r="N6" s="77"/>
      <c r="O6" s="14"/>
      <c r="P6" s="1"/>
    </row>
    <row r="7" spans="1:16" ht="7.5" customHeight="1" x14ac:dyDescent="0.35">
      <c r="A7" s="1"/>
      <c r="B7" s="15"/>
      <c r="C7" s="15"/>
      <c r="D7" s="16"/>
      <c r="E7" s="16"/>
      <c r="F7" s="16"/>
      <c r="G7" s="16"/>
      <c r="H7" s="16"/>
      <c r="I7" s="12"/>
      <c r="J7" s="17"/>
      <c r="K7" s="78"/>
      <c r="L7" s="78"/>
      <c r="M7" s="78"/>
      <c r="N7" s="78"/>
      <c r="O7" s="18"/>
      <c r="P7" s="1"/>
    </row>
    <row r="8" spans="1:16" ht="18.75" customHeight="1" x14ac:dyDescent="0.35">
      <c r="A8" s="1"/>
      <c r="B8" s="88" t="s">
        <v>7</v>
      </c>
      <c r="C8" s="79"/>
      <c r="D8" s="91" t="s">
        <v>8</v>
      </c>
      <c r="E8" s="79"/>
      <c r="F8" s="79"/>
      <c r="G8" s="79"/>
      <c r="H8" s="79"/>
      <c r="I8" s="12"/>
      <c r="J8" s="17"/>
      <c r="K8" s="78"/>
      <c r="L8" s="78"/>
      <c r="M8" s="78"/>
      <c r="N8" s="78"/>
      <c r="O8" s="18"/>
      <c r="P8" s="1"/>
    </row>
    <row r="9" spans="1:16" ht="7.5" customHeight="1" x14ac:dyDescent="0.35">
      <c r="A9" s="1"/>
      <c r="B9" s="15"/>
      <c r="C9" s="15"/>
      <c r="D9" s="19"/>
      <c r="E9" s="19"/>
      <c r="F9" s="19"/>
      <c r="G9" s="19"/>
      <c r="H9" s="19"/>
      <c r="I9" s="1"/>
      <c r="J9" s="17"/>
      <c r="K9" s="78"/>
      <c r="L9" s="78"/>
      <c r="M9" s="78"/>
      <c r="N9" s="78"/>
      <c r="O9" s="18"/>
      <c r="P9" s="1"/>
    </row>
    <row r="10" spans="1:16" ht="18.75" customHeight="1" x14ac:dyDescent="0.35">
      <c r="A10" s="1"/>
      <c r="B10" s="88" t="s">
        <v>9</v>
      </c>
      <c r="C10" s="79"/>
      <c r="D10" s="92">
        <v>46015</v>
      </c>
      <c r="E10" s="79"/>
      <c r="F10" s="79"/>
      <c r="G10" s="79"/>
      <c r="H10" s="79"/>
      <c r="I10" s="1"/>
      <c r="J10" s="17"/>
      <c r="K10" s="78"/>
      <c r="L10" s="78"/>
      <c r="M10" s="78"/>
      <c r="N10" s="78"/>
      <c r="O10" s="18"/>
      <c r="P10" s="1"/>
    </row>
    <row r="11" spans="1:16" ht="7.5" customHeight="1" x14ac:dyDescent="0.35">
      <c r="A11" s="1"/>
      <c r="B11" s="15"/>
      <c r="C11" s="15"/>
      <c r="D11" s="16"/>
      <c r="E11" s="16"/>
      <c r="F11" s="16"/>
      <c r="G11" s="16"/>
      <c r="H11" s="16"/>
      <c r="I11" s="1"/>
      <c r="J11" s="17"/>
      <c r="K11" s="78"/>
      <c r="L11" s="78"/>
      <c r="M11" s="78"/>
      <c r="N11" s="78"/>
      <c r="O11" s="18"/>
      <c r="P11" s="1"/>
    </row>
    <row r="12" spans="1:16" ht="18.75" customHeight="1" x14ac:dyDescent="0.35">
      <c r="A12" s="1"/>
      <c r="B12" s="88" t="s">
        <v>10</v>
      </c>
      <c r="C12" s="79"/>
      <c r="D12" s="91" t="s">
        <v>11</v>
      </c>
      <c r="E12" s="79"/>
      <c r="F12" s="79"/>
      <c r="G12" s="79"/>
      <c r="H12" s="79"/>
      <c r="I12" s="1"/>
      <c r="J12" s="20"/>
      <c r="K12" s="79"/>
      <c r="L12" s="79"/>
      <c r="M12" s="79"/>
      <c r="N12" s="79"/>
      <c r="O12" s="21"/>
      <c r="P12" s="1"/>
    </row>
    <row r="13" spans="1:16" ht="26.25" customHeight="1" x14ac:dyDescent="0.35">
      <c r="A13" s="22"/>
      <c r="B13" s="22"/>
      <c r="C13" s="23"/>
      <c r="D13" s="24"/>
      <c r="E13" s="1"/>
      <c r="F13" s="4"/>
      <c r="G13" s="4"/>
      <c r="H13" s="1"/>
      <c r="I13" s="1"/>
      <c r="J13" s="22"/>
      <c r="K13" s="22"/>
      <c r="L13" s="22"/>
      <c r="M13" s="1"/>
      <c r="N13" s="1"/>
      <c r="O13" s="1"/>
      <c r="P13" s="1"/>
    </row>
    <row r="14" spans="1:16" ht="18.75" customHeight="1" x14ac:dyDescent="0.35">
      <c r="A14" s="25"/>
      <c r="B14" s="7" t="s">
        <v>12</v>
      </c>
      <c r="C14" s="26"/>
      <c r="D14" s="27"/>
      <c r="E14" s="27"/>
      <c r="F14" s="28"/>
      <c r="G14" s="28"/>
      <c r="H14" s="27"/>
      <c r="I14" s="29"/>
      <c r="J14" s="74" t="s">
        <v>13</v>
      </c>
      <c r="K14" s="75"/>
      <c r="L14" s="75"/>
      <c r="M14" s="75"/>
      <c r="N14" s="75"/>
      <c r="O14" s="75"/>
      <c r="P14" s="25"/>
    </row>
    <row r="15" spans="1:16" ht="30" x14ac:dyDescent="0.35">
      <c r="A15" s="1"/>
      <c r="B15" s="1"/>
      <c r="C15" s="22"/>
      <c r="D15" s="10" t="s">
        <v>14</v>
      </c>
      <c r="E15" s="10" t="s">
        <v>15</v>
      </c>
      <c r="F15" s="11"/>
      <c r="G15" s="11" t="s">
        <v>16</v>
      </c>
      <c r="H15" s="10" t="s">
        <v>17</v>
      </c>
      <c r="I15" s="22"/>
      <c r="J15" s="1"/>
      <c r="K15" s="1"/>
      <c r="L15" s="22"/>
      <c r="M15" s="10" t="s">
        <v>14</v>
      </c>
      <c r="N15" s="10" t="s">
        <v>15</v>
      </c>
      <c r="O15" s="10"/>
      <c r="P15" s="1"/>
    </row>
    <row r="16" spans="1:16" ht="18.75" customHeight="1" x14ac:dyDescent="0.35">
      <c r="A16" s="30"/>
      <c r="B16" s="90" t="s">
        <v>18</v>
      </c>
      <c r="C16" s="78"/>
      <c r="D16" s="31"/>
      <c r="E16" s="31"/>
      <c r="F16" s="32"/>
      <c r="G16" s="32"/>
      <c r="H16" s="31"/>
      <c r="I16" s="30"/>
      <c r="J16" s="89" t="s">
        <v>19</v>
      </c>
      <c r="K16" s="78"/>
      <c r="L16" s="78"/>
      <c r="M16" s="33"/>
      <c r="N16" s="33"/>
      <c r="O16" s="33"/>
      <c r="P16" s="9"/>
    </row>
    <row r="17" spans="1:16" ht="18.75" customHeight="1" x14ac:dyDescent="0.35">
      <c r="A17" s="1"/>
      <c r="B17" s="34" t="s">
        <v>20</v>
      </c>
      <c r="C17" s="35"/>
      <c r="D17" s="36">
        <f t="shared" ref="D17:E17" si="0">SUM(D18:D19)</f>
        <v>1250000</v>
      </c>
      <c r="E17" s="36">
        <f t="shared" si="0"/>
        <v>1000000</v>
      </c>
      <c r="F17" s="37"/>
      <c r="G17" s="37">
        <f>(D17-E17)/E17</f>
        <v>0.25</v>
      </c>
      <c r="H17" s="38">
        <v>900000</v>
      </c>
      <c r="I17" s="1"/>
      <c r="J17" s="35" t="s">
        <v>21</v>
      </c>
      <c r="K17" s="35"/>
      <c r="L17" s="35"/>
      <c r="M17" s="36">
        <f t="shared" ref="M17:N17" si="1">SUM(M18:M20)</f>
        <v>1200000</v>
      </c>
      <c r="N17" s="36">
        <f t="shared" si="1"/>
        <v>1000000</v>
      </c>
      <c r="O17" s="36"/>
      <c r="P17" s="39"/>
    </row>
    <row r="18" spans="1:16" ht="18.75" customHeight="1" x14ac:dyDescent="0.35">
      <c r="A18" s="1"/>
      <c r="B18" s="40"/>
      <c r="C18" s="40" t="s">
        <v>22</v>
      </c>
      <c r="D18" s="41">
        <v>1200000</v>
      </c>
      <c r="E18" s="41">
        <v>950000</v>
      </c>
      <c r="F18" s="42"/>
      <c r="G18" s="42"/>
      <c r="H18" s="41"/>
      <c r="I18" s="1"/>
      <c r="J18" s="40"/>
      <c r="K18" s="40"/>
      <c r="L18" s="40" t="s">
        <v>23</v>
      </c>
      <c r="M18" s="41">
        <v>650000</v>
      </c>
      <c r="N18" s="41">
        <v>500000</v>
      </c>
      <c r="O18" s="41"/>
      <c r="P18" s="39"/>
    </row>
    <row r="19" spans="1:16" ht="18.75" customHeight="1" x14ac:dyDescent="0.35">
      <c r="A19" s="1"/>
      <c r="B19" s="40"/>
      <c r="C19" s="40" t="s">
        <v>24</v>
      </c>
      <c r="D19" s="41">
        <v>50000</v>
      </c>
      <c r="E19" s="41">
        <v>50000</v>
      </c>
      <c r="F19" s="42"/>
      <c r="G19" s="42"/>
      <c r="H19" s="41"/>
      <c r="I19" s="1"/>
      <c r="J19" s="40"/>
      <c r="K19" s="40"/>
      <c r="L19" s="40" t="s">
        <v>25</v>
      </c>
      <c r="M19" s="41">
        <v>400000</v>
      </c>
      <c r="N19" s="41">
        <v>350000</v>
      </c>
      <c r="O19" s="41"/>
      <c r="P19" s="39"/>
    </row>
    <row r="20" spans="1:16" ht="18.75" customHeight="1" x14ac:dyDescent="0.35">
      <c r="A20" s="1"/>
      <c r="B20" s="40" t="s">
        <v>26</v>
      </c>
      <c r="C20" s="40"/>
      <c r="D20" s="41">
        <v>437500</v>
      </c>
      <c r="E20" s="41">
        <v>400000</v>
      </c>
      <c r="F20" s="42"/>
      <c r="G20" s="42"/>
      <c r="H20" s="41"/>
      <c r="I20" s="1"/>
      <c r="J20" s="40"/>
      <c r="K20" s="40"/>
      <c r="L20" s="40" t="s">
        <v>27</v>
      </c>
      <c r="M20" s="41">
        <v>150000</v>
      </c>
      <c r="N20" s="41">
        <v>150000</v>
      </c>
      <c r="O20" s="41"/>
      <c r="P20" s="39"/>
    </row>
    <row r="21" spans="1:16" ht="18.75" customHeight="1" x14ac:dyDescent="0.35">
      <c r="A21" s="1"/>
      <c r="B21" s="43" t="s">
        <v>28</v>
      </c>
      <c r="C21" s="43"/>
      <c r="D21" s="44">
        <f t="shared" ref="D21:E21" si="2">D17-D20</f>
        <v>812500</v>
      </c>
      <c r="E21" s="44">
        <f t="shared" si="2"/>
        <v>600000</v>
      </c>
      <c r="F21" s="45"/>
      <c r="G21" s="45">
        <f t="shared" ref="G21:G22" si="3">(D21-E21)/E21</f>
        <v>0.35416666666666669</v>
      </c>
      <c r="H21" s="41"/>
      <c r="I21" s="1"/>
      <c r="J21" s="43" t="s">
        <v>29</v>
      </c>
      <c r="K21" s="43"/>
      <c r="L21" s="43"/>
      <c r="M21" s="44">
        <f t="shared" ref="M21:N21" si="4">SUM(M22:M23)</f>
        <v>800000</v>
      </c>
      <c r="N21" s="44">
        <f t="shared" si="4"/>
        <v>750000</v>
      </c>
      <c r="O21" s="44"/>
      <c r="P21" s="39"/>
    </row>
    <row r="22" spans="1:16" ht="18.75" customHeight="1" x14ac:dyDescent="0.35">
      <c r="A22" s="22"/>
      <c r="B22" s="43" t="s">
        <v>30</v>
      </c>
      <c r="C22" s="43"/>
      <c r="D22" s="44">
        <f t="shared" ref="D22:E22" si="5">SUM(D23:D27)</f>
        <v>550000</v>
      </c>
      <c r="E22" s="44">
        <f t="shared" si="5"/>
        <v>450000</v>
      </c>
      <c r="F22" s="45"/>
      <c r="G22" s="45">
        <f t="shared" si="3"/>
        <v>0.22222222222222221</v>
      </c>
      <c r="H22" s="41"/>
      <c r="I22" s="1"/>
      <c r="J22" s="40"/>
      <c r="K22" s="40"/>
      <c r="L22" s="40" t="s">
        <v>31</v>
      </c>
      <c r="M22" s="41">
        <v>700000</v>
      </c>
      <c r="N22" s="41">
        <v>700000</v>
      </c>
      <c r="O22" s="41"/>
      <c r="P22" s="39"/>
    </row>
    <row r="23" spans="1:16" ht="18.75" customHeight="1" x14ac:dyDescent="0.35">
      <c r="A23" s="1"/>
      <c r="B23" s="40"/>
      <c r="C23" s="40" t="s">
        <v>32</v>
      </c>
      <c r="D23" s="41">
        <v>300000</v>
      </c>
      <c r="E23" s="41">
        <v>250000</v>
      </c>
      <c r="F23" s="42"/>
      <c r="G23" s="42"/>
      <c r="H23" s="41"/>
      <c r="I23" s="1"/>
      <c r="J23" s="40"/>
      <c r="K23" s="40"/>
      <c r="L23" s="40" t="s">
        <v>33</v>
      </c>
      <c r="M23" s="41">
        <v>100000</v>
      </c>
      <c r="N23" s="41">
        <v>50000</v>
      </c>
      <c r="O23" s="41"/>
      <c r="P23" s="39"/>
    </row>
    <row r="24" spans="1:16" ht="18.75" customHeight="1" x14ac:dyDescent="0.35">
      <c r="A24" s="22"/>
      <c r="B24" s="40"/>
      <c r="C24" s="40" t="s">
        <v>34</v>
      </c>
      <c r="D24" s="41">
        <v>50000</v>
      </c>
      <c r="E24" s="41">
        <v>50000</v>
      </c>
      <c r="F24" s="42"/>
      <c r="G24" s="42"/>
      <c r="H24" s="41"/>
      <c r="I24" s="1"/>
      <c r="J24" s="43" t="s">
        <v>35</v>
      </c>
      <c r="K24" s="43"/>
      <c r="L24" s="43"/>
      <c r="M24" s="44">
        <f t="shared" ref="M24:N24" si="6">SUM(M17,M21)</f>
        <v>2000000</v>
      </c>
      <c r="N24" s="44">
        <f t="shared" si="6"/>
        <v>1750000</v>
      </c>
      <c r="O24" s="44"/>
      <c r="P24" s="39"/>
    </row>
    <row r="25" spans="1:16" ht="18.75" customHeight="1" x14ac:dyDescent="0.35">
      <c r="A25" s="1"/>
      <c r="B25" s="40"/>
      <c r="C25" s="40" t="s">
        <v>36</v>
      </c>
      <c r="D25" s="41">
        <v>120000</v>
      </c>
      <c r="E25" s="41">
        <v>100000</v>
      </c>
      <c r="F25" s="42"/>
      <c r="G25" s="42"/>
      <c r="H25" s="41"/>
      <c r="I25" s="1"/>
      <c r="J25" s="46" t="s">
        <v>37</v>
      </c>
      <c r="K25" s="46"/>
      <c r="L25" s="46"/>
      <c r="M25" s="47"/>
      <c r="N25" s="47"/>
      <c r="O25" s="47"/>
      <c r="P25" s="48"/>
    </row>
    <row r="26" spans="1:16" ht="18.75" customHeight="1" x14ac:dyDescent="0.35">
      <c r="A26" s="1"/>
      <c r="B26" s="40"/>
      <c r="C26" s="40" t="s">
        <v>38</v>
      </c>
      <c r="D26" s="41">
        <v>60000</v>
      </c>
      <c r="E26" s="41">
        <v>40000</v>
      </c>
      <c r="F26" s="42"/>
      <c r="G26" s="42"/>
      <c r="H26" s="41"/>
      <c r="I26" s="1"/>
      <c r="J26" s="43" t="s">
        <v>39</v>
      </c>
      <c r="K26" s="43"/>
      <c r="L26" s="43"/>
      <c r="M26" s="44">
        <f t="shared" ref="M26:N26" si="7">SUM(M27:M28)</f>
        <v>500000</v>
      </c>
      <c r="N26" s="44">
        <f t="shared" si="7"/>
        <v>450000</v>
      </c>
      <c r="O26" s="44"/>
      <c r="P26" s="39"/>
    </row>
    <row r="27" spans="1:16" ht="18.75" customHeight="1" x14ac:dyDescent="0.35">
      <c r="A27" s="1"/>
      <c r="B27" s="40"/>
      <c r="C27" s="40" t="s">
        <v>40</v>
      </c>
      <c r="D27" s="41">
        <v>20000</v>
      </c>
      <c r="E27" s="41">
        <v>10000</v>
      </c>
      <c r="F27" s="42"/>
      <c r="G27" s="42"/>
      <c r="H27" s="41"/>
      <c r="I27" s="1"/>
      <c r="J27" s="40"/>
      <c r="K27" s="40"/>
      <c r="L27" s="40" t="s">
        <v>41</v>
      </c>
      <c r="M27" s="41">
        <v>300000</v>
      </c>
      <c r="N27" s="41">
        <v>280000</v>
      </c>
      <c r="O27" s="41"/>
      <c r="P27" s="39"/>
    </row>
    <row r="28" spans="1:16" ht="18.75" customHeight="1" x14ac:dyDescent="0.35">
      <c r="A28" s="1"/>
      <c r="B28" s="43" t="s">
        <v>42</v>
      </c>
      <c r="C28" s="43"/>
      <c r="D28" s="44">
        <f t="shared" ref="D28:E28" si="8">D21-D22</f>
        <v>262500</v>
      </c>
      <c r="E28" s="44">
        <f t="shared" si="8"/>
        <v>150000</v>
      </c>
      <c r="F28" s="45"/>
      <c r="G28" s="45">
        <f t="shared" ref="G28:G29" si="9">(D28-E28)/E28</f>
        <v>0.75</v>
      </c>
      <c r="H28" s="41"/>
      <c r="I28" s="1"/>
      <c r="J28" s="40"/>
      <c r="K28" s="40"/>
      <c r="L28" s="40" t="s">
        <v>43</v>
      </c>
      <c r="M28" s="41">
        <v>200000</v>
      </c>
      <c r="N28" s="41">
        <v>170000</v>
      </c>
      <c r="O28" s="41"/>
      <c r="P28" s="39"/>
    </row>
    <row r="29" spans="1:16" ht="18.75" customHeight="1" x14ac:dyDescent="0.35">
      <c r="A29" s="1"/>
      <c r="B29" s="43" t="s">
        <v>44</v>
      </c>
      <c r="C29" s="43"/>
      <c r="D29" s="44">
        <f t="shared" ref="D29:E29" si="10">SUM(D30)</f>
        <v>-20000</v>
      </c>
      <c r="E29" s="44">
        <f t="shared" si="10"/>
        <v>-15000</v>
      </c>
      <c r="F29" s="45"/>
      <c r="G29" s="45">
        <f t="shared" si="9"/>
        <v>0.33333333333333331</v>
      </c>
      <c r="H29" s="41"/>
      <c r="I29" s="1"/>
      <c r="J29" s="40" t="s">
        <v>45</v>
      </c>
      <c r="K29" s="40"/>
      <c r="L29" s="40"/>
      <c r="M29" s="41">
        <v>300000</v>
      </c>
      <c r="N29" s="41">
        <v>300000</v>
      </c>
      <c r="O29" s="41"/>
      <c r="P29" s="39"/>
    </row>
    <row r="30" spans="1:16" ht="18.75" customHeight="1" x14ac:dyDescent="0.35">
      <c r="A30" s="22"/>
      <c r="B30" s="40"/>
      <c r="C30" s="40" t="s">
        <v>46</v>
      </c>
      <c r="D30" s="41">
        <v>-20000</v>
      </c>
      <c r="E30" s="41">
        <v>-15000</v>
      </c>
      <c r="F30" s="42"/>
      <c r="G30" s="42"/>
      <c r="H30" s="41"/>
      <c r="I30" s="1"/>
      <c r="J30" s="49" t="s">
        <v>47</v>
      </c>
      <c r="K30" s="49"/>
      <c r="L30" s="43"/>
      <c r="M30" s="44">
        <f t="shared" ref="M30:N30" si="11">SUM(M31:M32)</f>
        <v>1200000</v>
      </c>
      <c r="N30" s="44">
        <f t="shared" si="11"/>
        <v>1000000</v>
      </c>
      <c r="O30" s="44"/>
      <c r="P30" s="39"/>
    </row>
    <row r="31" spans="1:16" ht="18.75" customHeight="1" x14ac:dyDescent="0.35">
      <c r="A31" s="1"/>
      <c r="B31" s="43" t="s">
        <v>48</v>
      </c>
      <c r="C31" s="43"/>
      <c r="D31" s="44">
        <f t="shared" ref="D31:E31" si="12">D28+D29</f>
        <v>242500</v>
      </c>
      <c r="E31" s="44">
        <f t="shared" si="12"/>
        <v>135000</v>
      </c>
      <c r="F31" s="45"/>
      <c r="G31" s="45">
        <f>(D31-E31)/E31</f>
        <v>0.79629629629629628</v>
      </c>
      <c r="H31" s="41"/>
      <c r="I31" s="1"/>
      <c r="J31" s="40"/>
      <c r="K31" s="40"/>
      <c r="L31" s="40" t="s">
        <v>49</v>
      </c>
      <c r="M31" s="41">
        <v>500000</v>
      </c>
      <c r="N31" s="41">
        <v>500000</v>
      </c>
      <c r="O31" s="41"/>
      <c r="P31" s="39"/>
    </row>
    <row r="32" spans="1:16" ht="18.75" customHeight="1" x14ac:dyDescent="0.35">
      <c r="A32" s="22"/>
      <c r="B32" s="40" t="s">
        <v>50</v>
      </c>
      <c r="C32" s="40"/>
      <c r="D32" s="41">
        <v>62500</v>
      </c>
      <c r="E32" s="41">
        <v>35000</v>
      </c>
      <c r="F32" s="42"/>
      <c r="G32" s="42"/>
      <c r="H32" s="41"/>
      <c r="I32" s="1"/>
      <c r="J32" s="40"/>
      <c r="K32" s="40"/>
      <c r="L32" s="40" t="s">
        <v>51</v>
      </c>
      <c r="M32" s="41">
        <v>700000</v>
      </c>
      <c r="N32" s="41">
        <v>500000</v>
      </c>
      <c r="O32" s="41"/>
      <c r="P32" s="39"/>
    </row>
    <row r="33" spans="1:16" ht="18.75" customHeight="1" x14ac:dyDescent="0.35">
      <c r="A33" s="1"/>
      <c r="B33" s="43" t="s">
        <v>52</v>
      </c>
      <c r="C33" s="43"/>
      <c r="D33" s="44">
        <f t="shared" ref="D33:E33" si="13">D31-D32</f>
        <v>180000</v>
      </c>
      <c r="E33" s="44">
        <f t="shared" si="13"/>
        <v>100000</v>
      </c>
      <c r="F33" s="45"/>
      <c r="G33" s="45">
        <f>(D33-E33)/E33</f>
        <v>0.8</v>
      </c>
      <c r="H33" s="41">
        <v>80000</v>
      </c>
      <c r="I33" s="1"/>
      <c r="J33" s="43" t="s">
        <v>53</v>
      </c>
      <c r="K33" s="43"/>
      <c r="L33" s="43"/>
      <c r="M33" s="44">
        <f t="shared" ref="M33:N33" si="14">M26+M29+M30</f>
        <v>2000000</v>
      </c>
      <c r="N33" s="44">
        <f t="shared" si="14"/>
        <v>1750000</v>
      </c>
      <c r="O33" s="44"/>
      <c r="P33" s="39"/>
    </row>
    <row r="34" spans="1:16" ht="26.25" customHeight="1" x14ac:dyDescent="0.35">
      <c r="A34" s="22"/>
      <c r="B34" s="22"/>
      <c r="C34" s="22"/>
      <c r="D34" s="24"/>
      <c r="E34" s="1"/>
      <c r="F34" s="50"/>
      <c r="G34" s="50"/>
      <c r="H34" s="1"/>
      <c r="I34" s="1"/>
      <c r="J34" s="22"/>
      <c r="K34" s="22"/>
      <c r="L34" s="22"/>
      <c r="M34" s="1"/>
      <c r="N34" s="1"/>
      <c r="O34" s="1"/>
      <c r="P34" s="1"/>
    </row>
    <row r="35" spans="1:16" ht="18.75" customHeight="1" x14ac:dyDescent="0.35">
      <c r="A35" s="29"/>
      <c r="B35" s="7" t="s">
        <v>54</v>
      </c>
      <c r="C35" s="26"/>
      <c r="D35" s="51"/>
      <c r="E35" s="29"/>
      <c r="F35" s="74" t="s">
        <v>55</v>
      </c>
      <c r="G35" s="75"/>
      <c r="H35" s="75"/>
      <c r="I35" s="75"/>
      <c r="J35" s="75"/>
      <c r="K35" s="75"/>
      <c r="L35" s="75"/>
      <c r="M35" s="75"/>
      <c r="N35" s="75"/>
      <c r="O35" s="75"/>
      <c r="P35" s="29"/>
    </row>
    <row r="36" spans="1:16" ht="10.5" customHeight="1" x14ac:dyDescent="0.35">
      <c r="A36" s="8"/>
      <c r="B36" s="9"/>
      <c r="C36" s="9"/>
      <c r="D36" s="10"/>
      <c r="E36" s="10"/>
      <c r="F36" s="11"/>
      <c r="G36" s="11"/>
      <c r="H36" s="10"/>
      <c r="I36" s="8"/>
      <c r="J36" s="10"/>
      <c r="K36" s="10"/>
      <c r="L36" s="3"/>
      <c r="M36" s="10"/>
      <c r="N36" s="10"/>
      <c r="O36" s="10"/>
      <c r="P36" s="10"/>
    </row>
    <row r="37" spans="1:16" ht="18.75" customHeight="1" x14ac:dyDescent="0.35">
      <c r="A37" s="8"/>
      <c r="B37" s="89" t="s">
        <v>56</v>
      </c>
      <c r="C37" s="78"/>
      <c r="D37" s="10" t="s">
        <v>57</v>
      </c>
      <c r="E37" s="10"/>
      <c r="F37" s="86" t="s">
        <v>58</v>
      </c>
      <c r="G37" s="79"/>
      <c r="H37" s="83">
        <f>D21/D17</f>
        <v>0.65</v>
      </c>
      <c r="I37" s="79"/>
      <c r="J37" s="79"/>
      <c r="K37" s="53"/>
      <c r="L37" s="54" t="s">
        <v>59</v>
      </c>
      <c r="M37" s="83">
        <f>D33/D17</f>
        <v>0.14399999999999999</v>
      </c>
      <c r="N37" s="79"/>
      <c r="O37" s="53"/>
      <c r="P37" s="10"/>
    </row>
    <row r="38" spans="1:16" ht="18.75" customHeight="1" x14ac:dyDescent="0.35">
      <c r="A38" s="1"/>
      <c r="B38" s="52" t="s">
        <v>60</v>
      </c>
      <c r="C38" s="52"/>
      <c r="D38" s="55"/>
      <c r="E38" s="1"/>
      <c r="F38" s="94" t="s">
        <v>61</v>
      </c>
      <c r="G38" s="82"/>
      <c r="H38" s="81">
        <f>D28/D17</f>
        <v>0.21</v>
      </c>
      <c r="I38" s="82"/>
      <c r="J38" s="82"/>
      <c r="K38" s="56"/>
      <c r="L38" s="57" t="s">
        <v>62</v>
      </c>
      <c r="M38" s="84">
        <f>M17/M26</f>
        <v>2.4</v>
      </c>
      <c r="N38" s="82"/>
      <c r="O38" s="58"/>
      <c r="P38" s="1"/>
    </row>
    <row r="39" spans="1:16" ht="18.75" customHeight="1" x14ac:dyDescent="0.35">
      <c r="A39" s="1"/>
      <c r="B39" s="40"/>
      <c r="C39" s="40" t="s">
        <v>63</v>
      </c>
      <c r="D39" s="41">
        <v>180000</v>
      </c>
      <c r="E39" s="1"/>
      <c r="F39" s="59"/>
      <c r="G39" s="59"/>
      <c r="H39" s="1"/>
      <c r="I39" s="1"/>
      <c r="J39" s="1"/>
      <c r="K39" s="1"/>
      <c r="L39" s="29"/>
      <c r="M39" s="1"/>
      <c r="N39" s="1"/>
      <c r="O39" s="1"/>
      <c r="P39" s="1"/>
    </row>
    <row r="40" spans="1:16" ht="18.75" customHeight="1" x14ac:dyDescent="0.35">
      <c r="A40" s="1"/>
      <c r="B40" s="40"/>
      <c r="C40" s="40" t="s">
        <v>64</v>
      </c>
      <c r="D40" s="41">
        <v>50000</v>
      </c>
      <c r="E40" s="1"/>
      <c r="F40" s="74" t="s">
        <v>65</v>
      </c>
      <c r="G40" s="75"/>
      <c r="H40" s="75"/>
      <c r="I40" s="75"/>
      <c r="J40" s="75"/>
      <c r="K40" s="75"/>
      <c r="L40" s="75"/>
      <c r="M40" s="75"/>
      <c r="N40" s="75"/>
      <c r="O40" s="75"/>
      <c r="P40" s="1"/>
    </row>
    <row r="41" spans="1:16" ht="18.75" customHeight="1" x14ac:dyDescent="0.35">
      <c r="A41" s="22"/>
      <c r="B41" s="40"/>
      <c r="C41" s="40" t="s">
        <v>66</v>
      </c>
      <c r="D41" s="41">
        <v>-50000</v>
      </c>
      <c r="E41" s="1"/>
      <c r="F41" s="59"/>
      <c r="G41" s="59"/>
      <c r="H41" s="60"/>
      <c r="I41" s="60"/>
      <c r="J41" s="60"/>
      <c r="K41" s="60"/>
      <c r="L41" s="60"/>
      <c r="M41" s="60"/>
      <c r="N41" s="60"/>
      <c r="O41" s="60"/>
      <c r="P41" s="1"/>
    </row>
    <row r="42" spans="1:16" ht="18.75" customHeight="1" x14ac:dyDescent="0.35">
      <c r="A42" s="22"/>
      <c r="B42" s="43" t="s">
        <v>67</v>
      </c>
      <c r="C42" s="43"/>
      <c r="D42" s="44">
        <f>SUM(D39:D41)</f>
        <v>180000</v>
      </c>
      <c r="E42" s="1"/>
      <c r="F42" s="13"/>
      <c r="G42" s="76" t="s">
        <v>68</v>
      </c>
      <c r="H42" s="77"/>
      <c r="I42" s="77"/>
      <c r="J42" s="77"/>
      <c r="K42" s="77"/>
      <c r="L42" s="77"/>
      <c r="M42" s="77"/>
      <c r="N42" s="77"/>
      <c r="O42" s="61"/>
      <c r="P42" s="1"/>
    </row>
    <row r="43" spans="1:16" ht="18.75" customHeight="1" x14ac:dyDescent="0.35">
      <c r="A43" s="22"/>
      <c r="B43" s="40" t="s">
        <v>69</v>
      </c>
      <c r="C43" s="40"/>
      <c r="D43" s="41"/>
      <c r="E43" s="1"/>
      <c r="F43" s="62"/>
      <c r="G43" s="78"/>
      <c r="H43" s="78"/>
      <c r="I43" s="78"/>
      <c r="J43" s="78"/>
      <c r="K43" s="78"/>
      <c r="L43" s="78"/>
      <c r="M43" s="78"/>
      <c r="N43" s="78"/>
      <c r="O43" s="63"/>
      <c r="P43" s="1"/>
    </row>
    <row r="44" spans="1:16" ht="18.75" customHeight="1" x14ac:dyDescent="0.35">
      <c r="A44" s="1"/>
      <c r="B44" s="40"/>
      <c r="C44" s="40" t="s">
        <v>70</v>
      </c>
      <c r="D44" s="41">
        <v>-100000</v>
      </c>
      <c r="E44" s="1"/>
      <c r="F44" s="64"/>
      <c r="G44" s="79"/>
      <c r="H44" s="79"/>
      <c r="I44" s="79"/>
      <c r="J44" s="79"/>
      <c r="K44" s="79"/>
      <c r="L44" s="79"/>
      <c r="M44" s="79"/>
      <c r="N44" s="79"/>
      <c r="O44" s="65"/>
      <c r="P44" s="1"/>
    </row>
    <row r="45" spans="1:16" ht="18.75" customHeight="1" x14ac:dyDescent="0.35">
      <c r="A45" s="1"/>
      <c r="B45" s="40" t="s">
        <v>71</v>
      </c>
      <c r="C45" s="40"/>
      <c r="D45" s="41"/>
      <c r="E45" s="1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1"/>
    </row>
    <row r="46" spans="1:16" ht="18.75" customHeight="1" x14ac:dyDescent="0.35">
      <c r="A46" s="1"/>
      <c r="B46" s="40"/>
      <c r="C46" s="40" t="s">
        <v>72</v>
      </c>
      <c r="D46" s="41">
        <v>30000</v>
      </c>
      <c r="E46" s="1"/>
      <c r="F46" s="74" t="s">
        <v>73</v>
      </c>
      <c r="G46" s="75"/>
      <c r="H46" s="75"/>
      <c r="I46" s="75"/>
      <c r="J46" s="75"/>
      <c r="K46" s="75"/>
      <c r="L46" s="75"/>
      <c r="M46" s="75"/>
      <c r="N46" s="75"/>
      <c r="O46" s="75"/>
      <c r="P46" s="1"/>
    </row>
    <row r="47" spans="1:16" ht="18.75" customHeight="1" x14ac:dyDescent="0.35">
      <c r="A47" s="1"/>
      <c r="B47" s="40"/>
      <c r="C47" s="40" t="s">
        <v>74</v>
      </c>
      <c r="D47" s="41" t="s">
        <v>75</v>
      </c>
      <c r="E47" s="1"/>
      <c r="F47" s="59"/>
      <c r="G47" s="59"/>
      <c r="H47" s="60"/>
      <c r="I47" s="60"/>
      <c r="J47" s="60"/>
      <c r="K47" s="60"/>
      <c r="L47" s="60"/>
      <c r="M47" s="60"/>
      <c r="N47" s="60"/>
      <c r="O47" s="60"/>
      <c r="P47" s="1"/>
    </row>
    <row r="48" spans="1:16" ht="18.75" customHeight="1" x14ac:dyDescent="0.35">
      <c r="A48" s="1"/>
      <c r="B48" s="43" t="s">
        <v>76</v>
      </c>
      <c r="C48" s="43"/>
      <c r="D48" s="44">
        <f>SUM(D42,D44,D46:D47)</f>
        <v>110000</v>
      </c>
      <c r="E48" s="1"/>
      <c r="F48" s="66"/>
      <c r="G48" s="76" t="s">
        <v>77</v>
      </c>
      <c r="H48" s="77"/>
      <c r="I48" s="77"/>
      <c r="J48" s="77"/>
      <c r="K48" s="77"/>
      <c r="L48" s="77"/>
      <c r="M48" s="77"/>
      <c r="N48" s="77"/>
      <c r="O48" s="61"/>
      <c r="P48" s="1"/>
    </row>
    <row r="49" spans="1:16" ht="18.75" customHeight="1" x14ac:dyDescent="0.35">
      <c r="A49" s="22"/>
      <c r="B49" s="40" t="s">
        <v>78</v>
      </c>
      <c r="C49" s="40"/>
      <c r="D49" s="41">
        <v>540000</v>
      </c>
      <c r="E49" s="1"/>
      <c r="F49" s="62"/>
      <c r="G49" s="78"/>
      <c r="H49" s="78"/>
      <c r="I49" s="78"/>
      <c r="J49" s="78"/>
      <c r="K49" s="78"/>
      <c r="L49" s="78"/>
      <c r="M49" s="78"/>
      <c r="N49" s="78"/>
      <c r="O49" s="63"/>
      <c r="P49" s="1"/>
    </row>
    <row r="50" spans="1:16" ht="18.75" customHeight="1" x14ac:dyDescent="0.35">
      <c r="A50" s="1"/>
      <c r="B50" s="43" t="s">
        <v>79</v>
      </c>
      <c r="C50" s="43"/>
      <c r="D50" s="44">
        <f>D48+D49</f>
        <v>650000</v>
      </c>
      <c r="E50" s="1"/>
      <c r="F50" s="64"/>
      <c r="G50" s="79"/>
      <c r="H50" s="79"/>
      <c r="I50" s="79"/>
      <c r="J50" s="79"/>
      <c r="K50" s="79"/>
      <c r="L50" s="79"/>
      <c r="M50" s="79"/>
      <c r="N50" s="79"/>
      <c r="O50" s="65"/>
      <c r="P50" s="1"/>
    </row>
    <row r="51" spans="1:16" ht="30" customHeight="1" x14ac:dyDescent="0.35">
      <c r="A51" s="22"/>
      <c r="B51" s="22"/>
      <c r="C51" s="22"/>
      <c r="D51" s="24"/>
      <c r="E51" s="1"/>
      <c r="F51" s="4"/>
      <c r="G51" s="4"/>
      <c r="H51" s="1"/>
      <c r="I51" s="1"/>
      <c r="J51" s="22"/>
      <c r="K51" s="22"/>
      <c r="L51" s="22"/>
      <c r="M51" s="1"/>
      <c r="N51" s="1"/>
      <c r="O51" s="1"/>
      <c r="P51" s="1"/>
    </row>
    <row r="52" spans="1:16" ht="18.75" customHeight="1" x14ac:dyDescent="0.35">
      <c r="A52" s="25"/>
      <c r="B52" s="67" t="s">
        <v>80</v>
      </c>
      <c r="C52" s="29"/>
      <c r="D52" s="68"/>
      <c r="E52" s="68"/>
      <c r="F52" s="69"/>
      <c r="G52" s="69"/>
      <c r="H52" s="87" t="s">
        <v>81</v>
      </c>
      <c r="I52" s="78"/>
      <c r="J52" s="78"/>
      <c r="K52" s="78"/>
      <c r="L52" s="78"/>
      <c r="M52" s="78"/>
      <c r="N52" s="78"/>
      <c r="O52" s="25"/>
      <c r="P52" s="25"/>
    </row>
    <row r="53" spans="1:16" ht="18.75" customHeight="1" x14ac:dyDescent="0.35">
      <c r="A53" s="1"/>
      <c r="B53" s="22"/>
      <c r="C53" s="22"/>
      <c r="D53" s="24"/>
      <c r="E53" s="1"/>
      <c r="F53" s="4"/>
      <c r="G53" s="4"/>
      <c r="H53" s="1"/>
      <c r="I53" s="1"/>
      <c r="J53" s="22"/>
      <c r="K53" s="22"/>
      <c r="L53" s="22"/>
      <c r="M53" s="1"/>
      <c r="N53" s="1"/>
      <c r="O53" s="1"/>
      <c r="P53" s="1"/>
    </row>
    <row r="54" spans="1:16" ht="18.75" customHeight="1" x14ac:dyDescent="0.35">
      <c r="A54" s="1"/>
      <c r="B54" s="22"/>
      <c r="C54" s="22"/>
      <c r="D54" s="24"/>
      <c r="E54" s="1"/>
      <c r="F54" s="4"/>
      <c r="G54" s="4"/>
      <c r="H54" s="1"/>
      <c r="I54" s="1"/>
      <c r="J54" s="22"/>
      <c r="K54" s="22"/>
      <c r="L54" s="22"/>
      <c r="M54" s="1"/>
      <c r="N54" s="1"/>
      <c r="O54" s="1"/>
      <c r="P54" s="1"/>
    </row>
    <row r="55" spans="1:16" ht="18.75" customHeight="1" x14ac:dyDescent="0.35">
      <c r="A55" s="1"/>
      <c r="B55" s="22"/>
      <c r="C55" s="22"/>
      <c r="D55" s="24"/>
      <c r="E55" s="1"/>
      <c r="F55" s="4"/>
      <c r="G55" s="4"/>
      <c r="H55" s="1"/>
      <c r="I55" s="1"/>
      <c r="J55" s="22"/>
      <c r="K55" s="22"/>
      <c r="L55" s="22"/>
      <c r="M55" s="1"/>
      <c r="N55" s="1"/>
      <c r="O55" s="1"/>
      <c r="P55" s="1"/>
    </row>
    <row r="56" spans="1:16" ht="18.75" customHeight="1" x14ac:dyDescent="0.35">
      <c r="A56" s="1"/>
      <c r="B56" s="22"/>
      <c r="C56" s="22"/>
      <c r="D56" s="24"/>
      <c r="E56" s="1"/>
      <c r="F56" s="4"/>
      <c r="G56" s="4"/>
      <c r="H56" s="1"/>
      <c r="I56" s="1"/>
      <c r="J56" s="22"/>
      <c r="K56" s="22"/>
      <c r="L56" s="22"/>
      <c r="M56" s="1"/>
      <c r="N56" s="1"/>
      <c r="O56" s="1"/>
      <c r="P56" s="1"/>
    </row>
    <row r="57" spans="1:16" ht="18.75" customHeight="1" x14ac:dyDescent="0.35">
      <c r="A57" s="1"/>
      <c r="B57" s="22"/>
      <c r="C57" s="22"/>
      <c r="D57" s="24"/>
      <c r="E57" s="1"/>
      <c r="F57" s="4"/>
      <c r="G57" s="4"/>
      <c r="H57" s="1"/>
      <c r="I57" s="1"/>
      <c r="J57" s="22"/>
      <c r="K57" s="22"/>
      <c r="L57" s="22"/>
      <c r="M57" s="1"/>
      <c r="N57" s="1"/>
      <c r="O57" s="1"/>
      <c r="P57" s="1"/>
    </row>
    <row r="58" spans="1:16" ht="18.75" customHeight="1" x14ac:dyDescent="0.35">
      <c r="A58" s="1"/>
      <c r="B58" s="22"/>
      <c r="C58" s="22"/>
      <c r="D58" s="24"/>
      <c r="E58" s="1"/>
      <c r="F58" s="4"/>
      <c r="G58" s="4"/>
      <c r="H58" s="1"/>
      <c r="I58" s="1"/>
      <c r="J58" s="22"/>
      <c r="K58" s="22"/>
      <c r="L58" s="22"/>
      <c r="M58" s="1"/>
      <c r="N58" s="1"/>
      <c r="O58" s="1"/>
      <c r="P58" s="1"/>
    </row>
    <row r="59" spans="1:16" ht="18.75" customHeight="1" x14ac:dyDescent="0.35">
      <c r="A59" s="1"/>
      <c r="B59" s="22"/>
      <c r="C59" s="22"/>
      <c r="D59" s="24"/>
      <c r="E59" s="1"/>
      <c r="F59" s="4"/>
      <c r="G59" s="4"/>
      <c r="H59" s="1"/>
      <c r="I59" s="1"/>
      <c r="J59" s="22"/>
      <c r="K59" s="22"/>
      <c r="L59" s="22"/>
      <c r="M59" s="1"/>
      <c r="N59" s="1"/>
      <c r="O59" s="1"/>
      <c r="P59" s="1"/>
    </row>
    <row r="60" spans="1:16" ht="18.75" customHeight="1" x14ac:dyDescent="0.35">
      <c r="A60" s="1"/>
      <c r="B60" s="22"/>
      <c r="C60" s="22"/>
      <c r="D60" s="24"/>
      <c r="E60" s="1"/>
      <c r="F60" s="4"/>
      <c r="G60" s="4"/>
      <c r="H60" s="1"/>
      <c r="I60" s="1"/>
      <c r="J60" s="22"/>
      <c r="K60" s="22"/>
      <c r="L60" s="22"/>
      <c r="M60" s="1"/>
      <c r="N60" s="1"/>
      <c r="O60" s="1"/>
      <c r="P60" s="1"/>
    </row>
    <row r="61" spans="1:16" ht="18.75" customHeight="1" x14ac:dyDescent="0.35">
      <c r="A61" s="1"/>
      <c r="B61" s="22"/>
      <c r="C61" s="22"/>
      <c r="D61" s="24"/>
      <c r="E61" s="1"/>
      <c r="F61" s="4"/>
      <c r="G61" s="4"/>
      <c r="H61" s="1"/>
      <c r="I61" s="1"/>
      <c r="J61" s="22"/>
      <c r="K61" s="22"/>
      <c r="L61" s="22"/>
      <c r="M61" s="1"/>
      <c r="N61" s="1"/>
      <c r="O61" s="1"/>
      <c r="P61" s="1"/>
    </row>
    <row r="62" spans="1:16" ht="18.75" customHeight="1" x14ac:dyDescent="0.35">
      <c r="A62" s="1"/>
      <c r="B62" s="22"/>
      <c r="C62" s="22"/>
      <c r="D62" s="24"/>
      <c r="E62" s="1"/>
      <c r="F62" s="4"/>
      <c r="G62" s="4"/>
      <c r="H62" s="1"/>
      <c r="I62" s="1"/>
      <c r="J62" s="22"/>
      <c r="K62" s="22"/>
      <c r="L62" s="22"/>
      <c r="M62" s="1"/>
      <c r="N62" s="1"/>
      <c r="O62" s="1"/>
      <c r="P62" s="1"/>
    </row>
    <row r="63" spans="1:16" ht="18.75" customHeight="1" x14ac:dyDescent="0.35">
      <c r="A63" s="1"/>
      <c r="B63" s="22"/>
      <c r="C63" s="22"/>
      <c r="D63" s="24"/>
      <c r="E63" s="1"/>
      <c r="F63" s="4"/>
      <c r="G63" s="4"/>
      <c r="H63" s="1"/>
      <c r="I63" s="1"/>
      <c r="J63" s="22"/>
      <c r="K63" s="22"/>
      <c r="L63" s="22"/>
      <c r="M63" s="1"/>
      <c r="N63" s="1"/>
      <c r="O63" s="1"/>
      <c r="P63" s="1"/>
    </row>
    <row r="64" spans="1:16" ht="18.75" customHeight="1" x14ac:dyDescent="0.35">
      <c r="A64" s="1"/>
      <c r="B64" s="22"/>
      <c r="C64" s="22"/>
      <c r="D64" s="24"/>
      <c r="E64" s="1"/>
      <c r="F64" s="4"/>
      <c r="G64" s="4"/>
      <c r="H64" s="1"/>
      <c r="I64" s="1"/>
      <c r="J64" s="22"/>
      <c r="K64" s="22"/>
      <c r="L64" s="22"/>
      <c r="M64" s="1"/>
      <c r="N64" s="1"/>
      <c r="O64" s="1"/>
      <c r="P64" s="1"/>
    </row>
    <row r="65" spans="1:16" ht="18.75" customHeight="1" x14ac:dyDescent="0.35">
      <c r="A65" s="25"/>
      <c r="B65" s="80" t="s">
        <v>82</v>
      </c>
      <c r="C65" s="80"/>
      <c r="D65" s="80"/>
      <c r="E65" s="80"/>
      <c r="F65" s="80"/>
      <c r="G65" s="80"/>
      <c r="H65" s="87" t="s">
        <v>83</v>
      </c>
      <c r="I65" s="78"/>
      <c r="J65" s="78"/>
      <c r="K65" s="78"/>
      <c r="L65" s="78"/>
      <c r="M65" s="78"/>
      <c r="N65" s="78"/>
      <c r="O65" s="25"/>
      <c r="P65" s="25"/>
    </row>
    <row r="66" spans="1:16" ht="18.75" customHeight="1" x14ac:dyDescent="0.35">
      <c r="A66" s="1"/>
      <c r="B66" s="22"/>
      <c r="C66" s="22"/>
      <c r="D66" s="24"/>
      <c r="E66" s="1"/>
      <c r="F66" s="4"/>
      <c r="G66" s="4"/>
      <c r="H66" s="1"/>
      <c r="I66" s="1"/>
      <c r="J66" s="22"/>
      <c r="K66" s="22"/>
      <c r="L66" s="22"/>
      <c r="M66" s="1"/>
      <c r="N66" s="1"/>
      <c r="O66" s="1"/>
      <c r="P66" s="8"/>
    </row>
    <row r="67" spans="1:16" ht="18.75" customHeight="1" x14ac:dyDescent="0.35">
      <c r="A67" s="1"/>
      <c r="B67" s="22"/>
      <c r="C67" s="22"/>
      <c r="D67" s="24"/>
      <c r="E67" s="1"/>
      <c r="F67" s="4"/>
      <c r="G67" s="4"/>
      <c r="H67" s="1"/>
      <c r="I67" s="1"/>
      <c r="J67" s="22"/>
      <c r="K67" s="22"/>
      <c r="L67" s="22"/>
      <c r="M67" s="1"/>
      <c r="N67" s="1"/>
      <c r="O67" s="1"/>
      <c r="P67" s="1"/>
    </row>
    <row r="68" spans="1:16" ht="18.75" customHeight="1" x14ac:dyDescent="0.35">
      <c r="A68" s="1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1"/>
      <c r="P68" s="1"/>
    </row>
    <row r="69" spans="1:16" ht="18.75" customHeight="1" x14ac:dyDescent="0.35">
      <c r="A69" s="1"/>
      <c r="B69" s="22"/>
      <c r="C69" s="22"/>
      <c r="D69" s="24"/>
      <c r="E69" s="1"/>
      <c r="F69" s="4"/>
      <c r="G69" s="4"/>
      <c r="H69" s="1"/>
      <c r="I69" s="1"/>
      <c r="J69" s="22"/>
      <c r="K69" s="22"/>
      <c r="L69" s="22"/>
      <c r="M69" s="1"/>
      <c r="N69" s="1"/>
      <c r="O69" s="1"/>
      <c r="P69" s="1"/>
    </row>
    <row r="70" spans="1:16" ht="18.75" customHeight="1" x14ac:dyDescent="0.35">
      <c r="A70" s="1"/>
      <c r="B70" s="22"/>
      <c r="C70" s="22"/>
      <c r="D70" s="24"/>
      <c r="E70" s="1"/>
      <c r="F70" s="4"/>
      <c r="G70" s="4"/>
      <c r="H70" s="1"/>
      <c r="I70" s="1"/>
      <c r="J70" s="22"/>
      <c r="K70" s="22"/>
      <c r="L70" s="22"/>
      <c r="M70" s="1"/>
      <c r="N70" s="1"/>
      <c r="O70" s="1"/>
      <c r="P70" s="1"/>
    </row>
    <row r="71" spans="1:16" ht="18.75" customHeight="1" x14ac:dyDescent="0.35">
      <c r="A71" s="1"/>
      <c r="B71" s="22"/>
      <c r="C71" s="22"/>
      <c r="D71" s="24"/>
      <c r="E71" s="1"/>
      <c r="F71" s="4"/>
      <c r="G71" s="4"/>
      <c r="H71" s="1"/>
      <c r="I71" s="1"/>
      <c r="J71" s="22"/>
      <c r="K71" s="22"/>
      <c r="L71" s="22"/>
      <c r="M71" s="1"/>
      <c r="N71" s="1"/>
      <c r="O71" s="1"/>
      <c r="P71" s="1"/>
    </row>
    <row r="72" spans="1:16" ht="18.75" customHeight="1" x14ac:dyDescent="0.35">
      <c r="A72" s="1"/>
      <c r="B72" s="22"/>
      <c r="C72" s="22"/>
      <c r="D72" s="24"/>
      <c r="E72" s="1"/>
      <c r="F72" s="4"/>
      <c r="G72" s="4"/>
      <c r="H72" s="1"/>
      <c r="I72" s="1"/>
      <c r="J72" s="22"/>
      <c r="K72" s="22"/>
      <c r="L72" s="22"/>
      <c r="M72" s="1"/>
      <c r="N72" s="1"/>
      <c r="O72" s="1"/>
      <c r="P72" s="1"/>
    </row>
    <row r="73" spans="1:16" ht="18.75" customHeight="1" x14ac:dyDescent="0.35">
      <c r="A73" s="1"/>
      <c r="B73" s="22"/>
      <c r="C73" s="22"/>
      <c r="D73" s="24"/>
      <c r="E73" s="1"/>
      <c r="F73" s="4"/>
      <c r="G73" s="4"/>
      <c r="H73" s="1"/>
      <c r="I73" s="1"/>
      <c r="J73" s="22"/>
      <c r="K73" s="22"/>
      <c r="L73" s="22"/>
      <c r="M73" s="1"/>
      <c r="N73" s="1"/>
      <c r="O73" s="1"/>
      <c r="P73" s="1"/>
    </row>
    <row r="74" spans="1:16" ht="18.75" customHeight="1" x14ac:dyDescent="0.35">
      <c r="A74" s="1"/>
      <c r="B74" s="22"/>
      <c r="C74" s="22"/>
      <c r="D74" s="24"/>
      <c r="E74" s="1"/>
      <c r="F74" s="4"/>
      <c r="G74" s="4"/>
      <c r="H74" s="1"/>
      <c r="I74" s="1"/>
      <c r="J74" s="22"/>
      <c r="K74" s="22"/>
      <c r="L74" s="22"/>
      <c r="M74" s="1"/>
      <c r="N74" s="1"/>
      <c r="O74" s="1"/>
      <c r="P74" s="1"/>
    </row>
    <row r="75" spans="1:16" ht="18.75" customHeight="1" x14ac:dyDescent="0.35">
      <c r="A75" s="1"/>
      <c r="B75" s="22"/>
      <c r="C75" s="22"/>
      <c r="D75" s="24"/>
      <c r="E75" s="1"/>
      <c r="F75" s="4"/>
      <c r="G75" s="4"/>
      <c r="H75" s="1"/>
      <c r="I75" s="1"/>
      <c r="J75" s="22"/>
      <c r="K75" s="22"/>
      <c r="L75" s="22"/>
      <c r="M75" s="1"/>
      <c r="N75" s="1"/>
      <c r="O75" s="1"/>
      <c r="P75" s="1"/>
    </row>
    <row r="76" spans="1:16" ht="18.75" customHeight="1" x14ac:dyDescent="0.35">
      <c r="A76" s="1"/>
      <c r="B76" s="22"/>
      <c r="C76" s="22"/>
      <c r="D76" s="24"/>
      <c r="E76" s="1"/>
      <c r="F76" s="4"/>
      <c r="G76" s="4"/>
      <c r="H76" s="1"/>
      <c r="I76" s="1"/>
      <c r="J76" s="22"/>
      <c r="K76" s="22"/>
      <c r="L76" s="22"/>
      <c r="M76" s="1"/>
      <c r="N76" s="1"/>
      <c r="O76" s="1"/>
      <c r="P76" s="1"/>
    </row>
  </sheetData>
  <mergeCells count="30">
    <mergeCell ref="B2:N2"/>
    <mergeCell ref="F37:G37"/>
    <mergeCell ref="H37:J37"/>
    <mergeCell ref="H52:N52"/>
    <mergeCell ref="H65:N65"/>
    <mergeCell ref="B6:C6"/>
    <mergeCell ref="B8:C8"/>
    <mergeCell ref="B37:C37"/>
    <mergeCell ref="B16:C16"/>
    <mergeCell ref="J16:L16"/>
    <mergeCell ref="D6:H6"/>
    <mergeCell ref="D8:H8"/>
    <mergeCell ref="D10:H10"/>
    <mergeCell ref="D12:H12"/>
    <mergeCell ref="B10:C10"/>
    <mergeCell ref="B12:C12"/>
    <mergeCell ref="F35:O35"/>
    <mergeCell ref="F40:O40"/>
    <mergeCell ref="J4:O4"/>
    <mergeCell ref="J14:O14"/>
    <mergeCell ref="B4:H4"/>
    <mergeCell ref="K6:N12"/>
    <mergeCell ref="F38:G38"/>
    <mergeCell ref="F46:O46"/>
    <mergeCell ref="G48:N50"/>
    <mergeCell ref="B65:G65"/>
    <mergeCell ref="H38:J38"/>
    <mergeCell ref="M37:N37"/>
    <mergeCell ref="M38:N38"/>
    <mergeCell ref="G42:N44"/>
  </mergeCells>
  <printOptions horizontalCentered="1" verticalCentered="1"/>
  <pageMargins left="0" right="0" top="0" bottom="0" header="0" footer="0"/>
  <pageSetup paperSize="9" scale="60" fitToHeight="0" pageOrder="overThenDown" orientation="portrait" cellComments="atEnd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22"/>
  <sheetViews>
    <sheetView topLeftCell="A7" workbookViewId="0">
      <selection activeCell="A13" sqref="A13:B18"/>
    </sheetView>
  </sheetViews>
  <sheetFormatPr defaultColWidth="12.59765625" defaultRowHeight="15.75" customHeight="1" x14ac:dyDescent="0.35"/>
  <sheetData>
    <row r="1" spans="1:6" x14ac:dyDescent="0.35">
      <c r="A1" s="70" t="str">
        <f>Report!L18</f>
        <v>Cash and equivalents</v>
      </c>
      <c r="B1" s="71">
        <f>Report!M18</f>
        <v>650000</v>
      </c>
    </row>
    <row r="2" spans="1:6" x14ac:dyDescent="0.35">
      <c r="A2" s="70" t="str">
        <f>Report!L19</f>
        <v>Accounts receivable</v>
      </c>
      <c r="B2" s="71">
        <f>Report!M19</f>
        <v>400000</v>
      </c>
    </row>
    <row r="3" spans="1:6" x14ac:dyDescent="0.35">
      <c r="A3" s="70" t="str">
        <f>Report!L20</f>
        <v>Inventory</v>
      </c>
      <c r="B3" s="71">
        <f>Report!M20</f>
        <v>150000</v>
      </c>
    </row>
    <row r="4" spans="1:6" x14ac:dyDescent="0.35">
      <c r="A4" s="70" t="str">
        <f>Report!L22</f>
        <v>Property, plant &amp; equipment</v>
      </c>
      <c r="B4" s="71">
        <f>Report!M22</f>
        <v>700000</v>
      </c>
    </row>
    <row r="5" spans="1:6" x14ac:dyDescent="0.35">
      <c r="A5" s="70" t="str">
        <f>Report!L23</f>
        <v>Intangible assets</v>
      </c>
      <c r="B5" s="71">
        <f>Report!M23</f>
        <v>100000</v>
      </c>
    </row>
    <row r="8" spans="1:6" x14ac:dyDescent="0.35">
      <c r="A8" s="70" t="str">
        <f>Report!F37</f>
        <v>Gross Margin:</v>
      </c>
      <c r="B8" s="72">
        <f>Report!H37</f>
        <v>0.65</v>
      </c>
      <c r="D8" s="70">
        <f>Report!I37</f>
        <v>0</v>
      </c>
      <c r="E8" s="70">
        <f>Report!J37</f>
        <v>0</v>
      </c>
      <c r="F8" s="72">
        <f>Report!K37</f>
        <v>0</v>
      </c>
    </row>
    <row r="9" spans="1:6" x14ac:dyDescent="0.35">
      <c r="A9" s="70" t="str">
        <f>Report!F38</f>
        <v>Operating Margin:</v>
      </c>
      <c r="B9" s="72">
        <f>Report!H38</f>
        <v>0.21</v>
      </c>
      <c r="D9" s="70">
        <f>Report!I38</f>
        <v>0</v>
      </c>
      <c r="E9" s="70">
        <f>Report!J38</f>
        <v>0</v>
      </c>
      <c r="F9" s="72">
        <f>Report!K38</f>
        <v>0</v>
      </c>
    </row>
    <row r="10" spans="1:6" x14ac:dyDescent="0.35">
      <c r="A10" s="70" t="str">
        <f>Report!L37</f>
        <v>Net Margin:</v>
      </c>
      <c r="B10" s="72">
        <f>Report!M37</f>
        <v>0.14399999999999999</v>
      </c>
    </row>
    <row r="13" spans="1:6" x14ac:dyDescent="0.35">
      <c r="A13" s="70" t="str">
        <f>Report!C39</f>
        <v>Net profit</v>
      </c>
      <c r="B13" s="71">
        <f>Report!D39</f>
        <v>180000</v>
      </c>
    </row>
    <row r="14" spans="1:6" x14ac:dyDescent="0.35">
      <c r="A14" s="70" t="str">
        <f>Report!C40</f>
        <v>Depreciation</v>
      </c>
      <c r="B14" s="71">
        <f>Report!D40</f>
        <v>50000</v>
      </c>
    </row>
    <row r="15" spans="1:6" x14ac:dyDescent="0.35">
      <c r="A15" s="70" t="str">
        <f>Report!C41</f>
        <v>Changes in working capital</v>
      </c>
      <c r="B15" s="71">
        <f>Report!D41</f>
        <v>-50000</v>
      </c>
    </row>
    <row r="16" spans="1:6" x14ac:dyDescent="0.35">
      <c r="A16" s="70" t="str">
        <f>Report!C44</f>
        <v>Purchase/sale of assets</v>
      </c>
      <c r="B16" s="71">
        <f>Report!D44</f>
        <v>-100000</v>
      </c>
    </row>
    <row r="17" spans="1:2" x14ac:dyDescent="0.35">
      <c r="A17" s="70" t="str">
        <f>Report!C46</f>
        <v>Loans/repayments</v>
      </c>
      <c r="B17" s="71">
        <f>Report!D46</f>
        <v>30000</v>
      </c>
    </row>
    <row r="18" spans="1:2" x14ac:dyDescent="0.35">
      <c r="A18" s="70" t="str">
        <f>Report!C47</f>
        <v>Dividends</v>
      </c>
      <c r="B18" s="71" t="str">
        <f>Report!D47</f>
        <v xml:space="preserve"> $ </v>
      </c>
    </row>
    <row r="19" spans="1:2" x14ac:dyDescent="0.35">
      <c r="A19" s="70"/>
      <c r="B19" s="73"/>
    </row>
    <row r="20" spans="1:2" x14ac:dyDescent="0.35">
      <c r="A20" s="70"/>
      <c r="B20" s="70"/>
    </row>
    <row r="21" spans="1:2" x14ac:dyDescent="0.35">
      <c r="A21" s="70"/>
      <c r="B21" s="73"/>
    </row>
    <row r="22" spans="1:2" x14ac:dyDescent="0.35">
      <c r="A22" s="70"/>
      <c r="B22" s="7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Nataliia Prokhorenko</cp:lastModifiedBy>
  <cp:lastPrinted>2025-12-25T10:34:19Z</cp:lastPrinted>
  <dcterms:modified xsi:type="dcterms:W3CDTF">2025-12-25T10:35:44Z</dcterms:modified>
</cp:coreProperties>
</file>